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son\Downloads\"/>
    </mc:Choice>
  </mc:AlternateContent>
  <xr:revisionPtr revIDLastSave="0" documentId="13_ncr:1_{3DBC5AB5-B708-482D-9535-2B4A6F2E08E2}" xr6:coauthVersionLast="47" xr6:coauthVersionMax="47" xr10:uidLastSave="{00000000-0000-0000-0000-000000000000}"/>
  <bookViews>
    <workbookView xWindow="-120" yWindow="-120" windowWidth="29040" windowHeight="15840" xr2:uid="{3C6EB803-4BDD-394A-80C2-00F8CDA5E520}"/>
  </bookViews>
  <sheets>
    <sheet name="Illustration Tool" sheetId="1" r:id="rId1"/>
    <sheet name="Edit Plans" sheetId="5" r:id="rId2"/>
    <sheet name="Payment Calculator" sheetId="4" r:id="rId3"/>
  </sheets>
  <definedNames>
    <definedName name="plan_vs_payment">'Payment Calculator'!$G$1:$M$72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5" l="1"/>
  <c r="M9" i="1"/>
  <c r="M8" i="1" l="1"/>
  <c r="F128" i="4"/>
  <c r="F129" i="4" s="1"/>
  <c r="C5" i="4"/>
  <c r="C4" i="4"/>
  <c r="C3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H7" i="1" l="1"/>
  <c r="E2" i="4" l="1"/>
  <c r="M2" i="4" l="1"/>
  <c r="L2" i="4"/>
  <c r="I2" i="4"/>
  <c r="J2" i="4"/>
  <c r="K2" i="4"/>
  <c r="G2" i="4"/>
  <c r="H2" i="4"/>
  <c r="I7" i="1"/>
  <c r="H8" i="1"/>
  <c r="G7" i="1"/>
  <c r="E3" i="4"/>
  <c r="M3" i="4" l="1"/>
  <c r="L3" i="4"/>
  <c r="J3" i="4"/>
  <c r="G3" i="4"/>
  <c r="I3" i="4"/>
  <c r="H3" i="4"/>
  <c r="K3" i="4"/>
  <c r="H9" i="1"/>
  <c r="G8" i="1"/>
  <c r="E4" i="4"/>
  <c r="L4" i="4" l="1"/>
  <c r="M4" i="4"/>
  <c r="I4" i="4"/>
  <c r="J4" i="4"/>
  <c r="K4" i="4"/>
  <c r="G4" i="4"/>
  <c r="H4" i="4"/>
  <c r="I8" i="1"/>
  <c r="G9" i="1"/>
  <c r="H10" i="1"/>
  <c r="E5" i="4"/>
  <c r="M5" i="4" l="1"/>
  <c r="L5" i="4"/>
  <c r="G5" i="4"/>
  <c r="H5" i="4"/>
  <c r="I5" i="4"/>
  <c r="J5" i="4"/>
  <c r="K5" i="4"/>
  <c r="I9" i="1"/>
  <c r="H11" i="1"/>
  <c r="E6" i="4"/>
  <c r="G10" i="1"/>
  <c r="M6" i="4" l="1"/>
  <c r="L6" i="4"/>
  <c r="K6" i="4"/>
  <c r="G6" i="4"/>
  <c r="I6" i="4"/>
  <c r="H6" i="4"/>
  <c r="J6" i="4"/>
  <c r="I10" i="1"/>
  <c r="G11" i="1"/>
  <c r="H12" i="1"/>
  <c r="E7" i="4"/>
  <c r="M7" i="4" l="1"/>
  <c r="L7" i="4"/>
  <c r="I7" i="4"/>
  <c r="H7" i="4"/>
  <c r="K7" i="4"/>
  <c r="J7" i="4"/>
  <c r="G7" i="4"/>
  <c r="I11" i="1"/>
  <c r="H13" i="1"/>
  <c r="E8" i="4"/>
  <c r="G12" i="1"/>
  <c r="M8" i="4" l="1"/>
  <c r="L8" i="4"/>
  <c r="K8" i="4"/>
  <c r="G8" i="4"/>
  <c r="I8" i="4"/>
  <c r="H8" i="4"/>
  <c r="J8" i="4"/>
  <c r="I12" i="1"/>
  <c r="H14" i="1"/>
  <c r="E9" i="4"/>
  <c r="G13" i="1"/>
  <c r="M9" i="4" l="1"/>
  <c r="L9" i="4"/>
  <c r="K9" i="4"/>
  <c r="H9" i="4"/>
  <c r="J9" i="4"/>
  <c r="G9" i="4"/>
  <c r="I9" i="4"/>
  <c r="I13" i="1"/>
  <c r="H15" i="1"/>
  <c r="E10" i="4"/>
  <c r="G14" i="1"/>
  <c r="L10" i="4" l="1"/>
  <c r="M10" i="4"/>
  <c r="G10" i="4"/>
  <c r="I10" i="4"/>
  <c r="J10" i="4"/>
  <c r="H10" i="4"/>
  <c r="K10" i="4"/>
  <c r="I14" i="1"/>
  <c r="H16" i="1"/>
  <c r="E11" i="4"/>
  <c r="G15" i="1"/>
  <c r="L11" i="4" l="1"/>
  <c r="M11" i="4"/>
  <c r="K11" i="4"/>
  <c r="H11" i="4"/>
  <c r="J11" i="4"/>
  <c r="I11" i="4"/>
  <c r="G11" i="4"/>
  <c r="I15" i="1"/>
  <c r="H17" i="1"/>
  <c r="E12" i="4"/>
  <c r="G16" i="1"/>
  <c r="L12" i="4" l="1"/>
  <c r="M12" i="4"/>
  <c r="G12" i="4"/>
  <c r="I12" i="4"/>
  <c r="K12" i="4"/>
  <c r="H12" i="4"/>
  <c r="J12" i="4"/>
  <c r="I16" i="1"/>
  <c r="H18" i="1"/>
  <c r="E13" i="4"/>
  <c r="G17" i="1"/>
  <c r="L13" i="4" l="1"/>
  <c r="M13" i="4"/>
  <c r="G13" i="4"/>
  <c r="I13" i="4"/>
  <c r="J13" i="4"/>
  <c r="K13" i="4"/>
  <c r="H13" i="4"/>
  <c r="I17" i="1"/>
  <c r="E14" i="4"/>
  <c r="G18" i="1"/>
  <c r="H19" i="1"/>
  <c r="L14" i="4" l="1"/>
  <c r="M14" i="4"/>
  <c r="K14" i="4"/>
  <c r="I14" i="4"/>
  <c r="H14" i="4"/>
  <c r="J14" i="4"/>
  <c r="G14" i="4"/>
  <c r="I18" i="1"/>
  <c r="H20" i="1"/>
  <c r="E15" i="4"/>
  <c r="G19" i="1"/>
  <c r="L15" i="4" l="1"/>
  <c r="M15" i="4"/>
  <c r="K15" i="4"/>
  <c r="I15" i="4"/>
  <c r="G15" i="4"/>
  <c r="H15" i="4"/>
  <c r="J15" i="4"/>
  <c r="I19" i="1"/>
  <c r="E16" i="4"/>
  <c r="G20" i="1"/>
  <c r="H21" i="1"/>
  <c r="L16" i="4" l="1"/>
  <c r="M16" i="4"/>
  <c r="I16" i="4"/>
  <c r="G16" i="4"/>
  <c r="H16" i="4"/>
  <c r="J16" i="4"/>
  <c r="K16" i="4"/>
  <c r="I20" i="1"/>
  <c r="E17" i="4"/>
  <c r="G21" i="1"/>
  <c r="H22" i="1"/>
  <c r="L17" i="4" l="1"/>
  <c r="M17" i="4"/>
  <c r="K17" i="4"/>
  <c r="I17" i="4"/>
  <c r="H17" i="4"/>
  <c r="G17" i="4"/>
  <c r="J17" i="4"/>
  <c r="I21" i="1"/>
  <c r="H23" i="1"/>
  <c r="E18" i="4"/>
  <c r="G22" i="1"/>
  <c r="M18" i="4" l="1"/>
  <c r="L18" i="4"/>
  <c r="I18" i="4"/>
  <c r="H18" i="4"/>
  <c r="J18" i="4"/>
  <c r="K18" i="4"/>
  <c r="G18" i="4"/>
  <c r="I22" i="1"/>
  <c r="E19" i="4"/>
  <c r="G23" i="1"/>
  <c r="H24" i="1"/>
  <c r="M19" i="4" l="1"/>
  <c r="L19" i="4"/>
  <c r="G19" i="4"/>
  <c r="J19" i="4"/>
  <c r="H19" i="4"/>
  <c r="I19" i="4"/>
  <c r="K19" i="4"/>
  <c r="I23" i="1"/>
  <c r="H25" i="1"/>
  <c r="E20" i="4"/>
  <c r="G24" i="1"/>
  <c r="M20" i="4" l="1"/>
  <c r="L20" i="4"/>
  <c r="K20" i="4"/>
  <c r="G20" i="4"/>
  <c r="J20" i="4"/>
  <c r="H20" i="4"/>
  <c r="I20" i="4"/>
  <c r="I24" i="1"/>
  <c r="E21" i="4"/>
  <c r="G25" i="1"/>
  <c r="H26" i="1"/>
  <c r="L21" i="4" l="1"/>
  <c r="M21" i="4"/>
  <c r="I21" i="4"/>
  <c r="J21" i="4"/>
  <c r="G21" i="4"/>
  <c r="K21" i="4"/>
  <c r="H21" i="4"/>
  <c r="I25" i="1"/>
  <c r="H27" i="1"/>
  <c r="E22" i="4"/>
  <c r="G26" i="1"/>
  <c r="M22" i="4" l="1"/>
  <c r="L22" i="4"/>
  <c r="J22" i="4"/>
  <c r="K22" i="4"/>
  <c r="G22" i="4"/>
  <c r="H22" i="4"/>
  <c r="I22" i="4"/>
  <c r="I26" i="1"/>
  <c r="E23" i="4"/>
  <c r="G27" i="1"/>
  <c r="H28" i="1"/>
  <c r="M23" i="4" l="1"/>
  <c r="L23" i="4"/>
  <c r="I23" i="4"/>
  <c r="H23" i="4"/>
  <c r="G23" i="4"/>
  <c r="J23" i="4"/>
  <c r="K23" i="4"/>
  <c r="I27" i="1"/>
  <c r="H29" i="1"/>
  <c r="E24" i="4"/>
  <c r="G28" i="1"/>
  <c r="M24" i="4" l="1"/>
  <c r="L24" i="4"/>
  <c r="K24" i="4"/>
  <c r="G24" i="4"/>
  <c r="I24" i="4"/>
  <c r="J24" i="4"/>
  <c r="H24" i="4"/>
  <c r="I28" i="1"/>
  <c r="E25" i="4"/>
  <c r="G29" i="1"/>
  <c r="H30" i="1"/>
  <c r="L25" i="4" l="1"/>
  <c r="M25" i="4"/>
  <c r="H25" i="4"/>
  <c r="G25" i="4"/>
  <c r="I25" i="4"/>
  <c r="K25" i="4"/>
  <c r="J25" i="4"/>
  <c r="I29" i="1"/>
  <c r="H31" i="1"/>
  <c r="E26" i="4"/>
  <c r="G30" i="1"/>
  <c r="L26" i="4" l="1"/>
  <c r="M26" i="4"/>
  <c r="G26" i="4"/>
  <c r="I26" i="4"/>
  <c r="H26" i="4"/>
  <c r="J26" i="4"/>
  <c r="K26" i="4"/>
  <c r="I30" i="1"/>
  <c r="I31" i="1"/>
  <c r="E27" i="4"/>
  <c r="G31" i="1"/>
  <c r="H32" i="1"/>
  <c r="M27" i="4" l="1"/>
  <c r="L27" i="4"/>
  <c r="H27" i="4"/>
  <c r="J27" i="4"/>
  <c r="G27" i="4"/>
  <c r="I27" i="4"/>
  <c r="K27" i="4"/>
  <c r="H33" i="1"/>
  <c r="E28" i="4"/>
  <c r="G32" i="1"/>
  <c r="L28" i="4" l="1"/>
  <c r="M28" i="4"/>
  <c r="I28" i="4"/>
  <c r="K28" i="4"/>
  <c r="G28" i="4"/>
  <c r="H28" i="4"/>
  <c r="J28" i="4"/>
  <c r="I32" i="1"/>
  <c r="E29" i="4"/>
  <c r="G33" i="1"/>
  <c r="H34" i="1"/>
  <c r="L29" i="4" l="1"/>
  <c r="M29" i="4"/>
  <c r="J29" i="4"/>
  <c r="G29" i="4"/>
  <c r="K29" i="4"/>
  <c r="I29" i="4"/>
  <c r="H29" i="4"/>
  <c r="I33" i="1"/>
  <c r="H35" i="1"/>
  <c r="E30" i="4"/>
  <c r="G34" i="1"/>
  <c r="L30" i="4" l="1"/>
  <c r="M30" i="4"/>
  <c r="K30" i="4"/>
  <c r="I30" i="4"/>
  <c r="H30" i="4"/>
  <c r="J30" i="4"/>
  <c r="G30" i="4"/>
  <c r="I34" i="1"/>
  <c r="E31" i="4"/>
  <c r="G35" i="1"/>
  <c r="H36" i="1"/>
  <c r="L31" i="4" l="1"/>
  <c r="M31" i="4"/>
  <c r="I31" i="4"/>
  <c r="G31" i="4"/>
  <c r="K31" i="4"/>
  <c r="H31" i="4"/>
  <c r="J31" i="4"/>
  <c r="I35" i="1"/>
  <c r="H37" i="1"/>
  <c r="E32" i="4"/>
  <c r="G36" i="1"/>
  <c r="M32" i="4" l="1"/>
  <c r="L32" i="4"/>
  <c r="G32" i="4"/>
  <c r="J32" i="4"/>
  <c r="K32" i="4"/>
  <c r="I32" i="4"/>
  <c r="H32" i="4"/>
  <c r="I36" i="1"/>
  <c r="E33" i="4"/>
  <c r="G37" i="1"/>
  <c r="H38" i="1"/>
  <c r="M33" i="4" l="1"/>
  <c r="L33" i="4"/>
  <c r="K33" i="4"/>
  <c r="I33" i="4"/>
  <c r="H33" i="4"/>
  <c r="G33" i="4"/>
  <c r="J33" i="4"/>
  <c r="I38" i="1"/>
  <c r="I37" i="1"/>
  <c r="H39" i="1"/>
  <c r="E34" i="4"/>
  <c r="G38" i="1"/>
  <c r="L34" i="4" l="1"/>
  <c r="M34" i="4"/>
  <c r="J34" i="4"/>
  <c r="K34" i="4"/>
  <c r="I34" i="4"/>
  <c r="G34" i="4"/>
  <c r="H34" i="4"/>
  <c r="E35" i="4"/>
  <c r="G39" i="1"/>
  <c r="H40" i="1"/>
  <c r="M35" i="4" l="1"/>
  <c r="L35" i="4"/>
  <c r="J35" i="4"/>
  <c r="G35" i="4"/>
  <c r="H35" i="4"/>
  <c r="I35" i="4"/>
  <c r="K35" i="4"/>
  <c r="I40" i="1"/>
  <c r="I39" i="1"/>
  <c r="H41" i="1"/>
  <c r="E36" i="4"/>
  <c r="G40" i="1"/>
  <c r="M36" i="4" l="1"/>
  <c r="L36" i="4"/>
  <c r="K36" i="4"/>
  <c r="G36" i="4"/>
  <c r="J36" i="4"/>
  <c r="H36" i="4"/>
  <c r="I36" i="4"/>
  <c r="I41" i="1"/>
  <c r="E37" i="4"/>
  <c r="G41" i="1"/>
  <c r="H42" i="1"/>
  <c r="M37" i="4" l="1"/>
  <c r="L37" i="4"/>
  <c r="I37" i="4"/>
  <c r="J37" i="4"/>
  <c r="H37" i="4"/>
  <c r="K37" i="4"/>
  <c r="G37" i="4"/>
  <c r="H43" i="1"/>
  <c r="E38" i="4"/>
  <c r="G42" i="1"/>
  <c r="M38" i="4" l="1"/>
  <c r="L38" i="4"/>
  <c r="K38" i="4"/>
  <c r="G38" i="4"/>
  <c r="J38" i="4"/>
  <c r="H38" i="4"/>
  <c r="I38" i="4"/>
  <c r="I43" i="1"/>
  <c r="I42" i="1"/>
  <c r="E39" i="4"/>
  <c r="G43" i="1"/>
  <c r="H44" i="1"/>
  <c r="M39" i="4" l="1"/>
  <c r="L39" i="4"/>
  <c r="H39" i="4"/>
  <c r="K39" i="4"/>
  <c r="G39" i="4"/>
  <c r="J39" i="4"/>
  <c r="I39" i="4"/>
  <c r="H45" i="1"/>
  <c r="E40" i="4"/>
  <c r="G44" i="1"/>
  <c r="M40" i="4" l="1"/>
  <c r="L40" i="4"/>
  <c r="K40" i="4"/>
  <c r="G40" i="4"/>
  <c r="I40" i="4"/>
  <c r="J40" i="4"/>
  <c r="H40" i="4"/>
  <c r="I44" i="1"/>
  <c r="E41" i="4"/>
  <c r="G45" i="1"/>
  <c r="H46" i="1"/>
  <c r="L41" i="4" l="1"/>
  <c r="M41" i="4"/>
  <c r="H41" i="4"/>
  <c r="G41" i="4"/>
  <c r="I41" i="4"/>
  <c r="K41" i="4"/>
  <c r="J41" i="4"/>
  <c r="I45" i="1"/>
  <c r="H47" i="1"/>
  <c r="E42" i="4"/>
  <c r="G46" i="1"/>
  <c r="L42" i="4" l="1"/>
  <c r="M42" i="4"/>
  <c r="J42" i="4"/>
  <c r="G42" i="4"/>
  <c r="I42" i="4"/>
  <c r="H42" i="4"/>
  <c r="K42" i="4"/>
  <c r="I47" i="1"/>
  <c r="I46" i="1"/>
  <c r="E43" i="4"/>
  <c r="G47" i="1"/>
  <c r="H48" i="1"/>
  <c r="M43" i="4" l="1"/>
  <c r="L43" i="4"/>
  <c r="H43" i="4"/>
  <c r="J43" i="4"/>
  <c r="G43" i="4"/>
  <c r="I43" i="4"/>
  <c r="K43" i="4"/>
  <c r="H49" i="1"/>
  <c r="E44" i="4"/>
  <c r="G48" i="1"/>
  <c r="L44" i="4" l="1"/>
  <c r="M44" i="4"/>
  <c r="I44" i="4"/>
  <c r="K44" i="4"/>
  <c r="H44" i="4"/>
  <c r="J44" i="4"/>
  <c r="G44" i="4"/>
  <c r="I48" i="1"/>
  <c r="E45" i="4"/>
  <c r="G49" i="1"/>
  <c r="H50" i="1"/>
  <c r="L45" i="4" l="1"/>
  <c r="M45" i="4"/>
  <c r="J45" i="4"/>
  <c r="I45" i="4"/>
  <c r="G45" i="4"/>
  <c r="K45" i="4"/>
  <c r="H45" i="4"/>
  <c r="I49" i="1"/>
  <c r="H51" i="1"/>
  <c r="E46" i="4"/>
  <c r="G50" i="1"/>
  <c r="L46" i="4" l="1"/>
  <c r="M46" i="4"/>
  <c r="I46" i="4"/>
  <c r="H46" i="4"/>
  <c r="J46" i="4"/>
  <c r="G46" i="4"/>
  <c r="K46" i="4"/>
  <c r="I50" i="1"/>
  <c r="E47" i="4"/>
  <c r="G51" i="1"/>
  <c r="H52" i="1"/>
  <c r="L47" i="4" l="1"/>
  <c r="M47" i="4"/>
  <c r="G47" i="4"/>
  <c r="K47" i="4"/>
  <c r="I47" i="4"/>
  <c r="H47" i="4"/>
  <c r="J47" i="4"/>
  <c r="I52" i="1"/>
  <c r="I51" i="1"/>
  <c r="H53" i="1"/>
  <c r="E48" i="4"/>
  <c r="G52" i="1"/>
  <c r="M48" i="4" l="1"/>
  <c r="L48" i="4"/>
  <c r="G48" i="4"/>
  <c r="J48" i="4"/>
  <c r="K48" i="4"/>
  <c r="H48" i="4"/>
  <c r="I48" i="4"/>
  <c r="E49" i="4"/>
  <c r="G53" i="1"/>
  <c r="H54" i="1"/>
  <c r="L49" i="4" l="1"/>
  <c r="M49" i="4"/>
  <c r="K49" i="4"/>
  <c r="I49" i="4"/>
  <c r="H49" i="4"/>
  <c r="G49" i="4"/>
  <c r="J49" i="4"/>
  <c r="I53" i="1"/>
  <c r="H55" i="1"/>
  <c r="E50" i="4"/>
  <c r="G54" i="1"/>
  <c r="M50" i="4" l="1"/>
  <c r="L50" i="4"/>
  <c r="J50" i="4"/>
  <c r="K50" i="4"/>
  <c r="G50" i="4"/>
  <c r="H50" i="4"/>
  <c r="I50" i="4"/>
  <c r="I54" i="1"/>
  <c r="E51" i="4"/>
  <c r="G55" i="1"/>
  <c r="H56" i="1"/>
  <c r="M51" i="4" l="1"/>
  <c r="L51" i="4"/>
  <c r="G51" i="4"/>
  <c r="J51" i="4"/>
  <c r="H51" i="4"/>
  <c r="I51" i="4"/>
  <c r="K51" i="4"/>
  <c r="I55" i="1"/>
  <c r="H57" i="1"/>
  <c r="E52" i="4"/>
  <c r="G56" i="1"/>
  <c r="M52" i="4" l="1"/>
  <c r="L52" i="4"/>
  <c r="K52" i="4"/>
  <c r="G52" i="4"/>
  <c r="H52" i="4"/>
  <c r="J52" i="4"/>
  <c r="I52" i="4"/>
  <c r="I56" i="1"/>
  <c r="E53" i="4"/>
  <c r="G57" i="1"/>
  <c r="H58" i="1"/>
  <c r="M53" i="4" l="1"/>
  <c r="L53" i="4"/>
  <c r="H53" i="4"/>
  <c r="I53" i="4"/>
  <c r="J53" i="4"/>
  <c r="K53" i="4"/>
  <c r="G53" i="4"/>
  <c r="I57" i="1"/>
  <c r="H59" i="1"/>
  <c r="E54" i="4"/>
  <c r="G58" i="1"/>
  <c r="M54" i="4" l="1"/>
  <c r="L54" i="4"/>
  <c r="K54" i="4"/>
  <c r="G54" i="4"/>
  <c r="H54" i="4"/>
  <c r="I54" i="4"/>
  <c r="J54" i="4"/>
  <c r="I58" i="1"/>
  <c r="I59" i="1"/>
  <c r="E55" i="4"/>
  <c r="G59" i="1"/>
  <c r="H60" i="1"/>
  <c r="M55" i="4" l="1"/>
  <c r="L55" i="4"/>
  <c r="H55" i="4"/>
  <c r="J55" i="4"/>
  <c r="K55" i="4"/>
  <c r="G55" i="4"/>
  <c r="I55" i="4"/>
  <c r="H61" i="1"/>
  <c r="E56" i="4"/>
  <c r="G60" i="1"/>
  <c r="M56" i="4" l="1"/>
  <c r="L56" i="4"/>
  <c r="G56" i="4"/>
  <c r="I56" i="4"/>
  <c r="J56" i="4"/>
  <c r="H56" i="4"/>
  <c r="K56" i="4"/>
  <c r="I60" i="1"/>
  <c r="E57" i="4"/>
  <c r="G61" i="1"/>
  <c r="H62" i="1"/>
  <c r="M57" i="4" l="1"/>
  <c r="L57" i="4"/>
  <c r="K57" i="4"/>
  <c r="H57" i="4"/>
  <c r="J57" i="4"/>
  <c r="G57" i="4"/>
  <c r="I57" i="4"/>
  <c r="I62" i="1"/>
  <c r="I61" i="1"/>
  <c r="H63" i="1"/>
  <c r="E58" i="4"/>
  <c r="G62" i="1"/>
  <c r="M58" i="4" l="1"/>
  <c r="L58" i="4"/>
  <c r="J58" i="4"/>
  <c r="H58" i="4"/>
  <c r="K58" i="4"/>
  <c r="G58" i="4"/>
  <c r="I58" i="4"/>
  <c r="E59" i="4"/>
  <c r="G63" i="1"/>
  <c r="H64" i="1"/>
  <c r="L59" i="4" l="1"/>
  <c r="M59" i="4"/>
  <c r="H59" i="4"/>
  <c r="G59" i="4"/>
  <c r="J59" i="4"/>
  <c r="I59" i="4"/>
  <c r="K59" i="4"/>
  <c r="I64" i="1"/>
  <c r="I63" i="1"/>
  <c r="H65" i="1"/>
  <c r="E60" i="4"/>
  <c r="G64" i="1"/>
  <c r="L60" i="4" l="1"/>
  <c r="M60" i="4"/>
  <c r="I60" i="4"/>
  <c r="K60" i="4"/>
  <c r="H60" i="4"/>
  <c r="G60" i="4"/>
  <c r="J60" i="4"/>
  <c r="E61" i="4"/>
  <c r="G65" i="1"/>
  <c r="H66" i="1"/>
  <c r="L61" i="4" l="1"/>
  <c r="M61" i="4"/>
  <c r="J61" i="4"/>
  <c r="I61" i="4"/>
  <c r="G61" i="4"/>
  <c r="K61" i="4"/>
  <c r="H61" i="4"/>
  <c r="I65" i="1"/>
  <c r="H67" i="1"/>
  <c r="E62" i="4"/>
  <c r="G66" i="1"/>
  <c r="L62" i="4" l="1"/>
  <c r="M62" i="4"/>
  <c r="G62" i="4"/>
  <c r="I62" i="4"/>
  <c r="H62" i="4"/>
  <c r="J62" i="4"/>
  <c r="K62" i="4"/>
  <c r="I67" i="1"/>
  <c r="I66" i="1"/>
  <c r="E63" i="4"/>
  <c r="G67" i="1"/>
  <c r="H68" i="1"/>
  <c r="L63" i="4" l="1"/>
  <c r="M63" i="4"/>
  <c r="K63" i="4"/>
  <c r="I63" i="4"/>
  <c r="G63" i="4"/>
  <c r="H63" i="4"/>
  <c r="J63" i="4"/>
  <c r="I68" i="1"/>
  <c r="H69" i="1"/>
  <c r="E64" i="4"/>
  <c r="G68" i="1"/>
  <c r="M64" i="4" l="1"/>
  <c r="L64" i="4"/>
  <c r="G64" i="4"/>
  <c r="J64" i="4"/>
  <c r="K64" i="4"/>
  <c r="I64" i="4"/>
  <c r="H64" i="4"/>
  <c r="I69" i="1"/>
  <c r="E65" i="4"/>
  <c r="G69" i="1"/>
  <c r="H70" i="1"/>
  <c r="M65" i="4" l="1"/>
  <c r="L65" i="4"/>
  <c r="I65" i="4"/>
  <c r="H65" i="4"/>
  <c r="G65" i="4"/>
  <c r="K65" i="4"/>
  <c r="J65" i="4"/>
  <c r="H71" i="1"/>
  <c r="E66" i="4"/>
  <c r="G70" i="1"/>
  <c r="M66" i="4" l="1"/>
  <c r="L66" i="4"/>
  <c r="J66" i="4"/>
  <c r="K66" i="4"/>
  <c r="I66" i="4"/>
  <c r="G66" i="4"/>
  <c r="H66" i="4"/>
  <c r="I70" i="1"/>
  <c r="E67" i="4"/>
  <c r="G71" i="1"/>
  <c r="H72" i="1"/>
  <c r="M67" i="4" l="1"/>
  <c r="L67" i="4"/>
  <c r="H67" i="4"/>
  <c r="G67" i="4"/>
  <c r="I67" i="4"/>
  <c r="K67" i="4"/>
  <c r="J67" i="4"/>
  <c r="I72" i="1"/>
  <c r="I71" i="1"/>
  <c r="H73" i="1"/>
  <c r="E68" i="4"/>
  <c r="G72" i="1"/>
  <c r="M68" i="4" l="1"/>
  <c r="L68" i="4"/>
  <c r="J68" i="4"/>
  <c r="K68" i="4"/>
  <c r="G68" i="4"/>
  <c r="H68" i="4"/>
  <c r="I68" i="4"/>
  <c r="E69" i="4"/>
  <c r="G73" i="1"/>
  <c r="H74" i="1"/>
  <c r="M69" i="4" l="1"/>
  <c r="L69" i="4"/>
  <c r="H69" i="4"/>
  <c r="I69" i="4"/>
  <c r="J69" i="4"/>
  <c r="K69" i="4"/>
  <c r="G69" i="4"/>
  <c r="I73" i="1"/>
  <c r="I74" i="1"/>
  <c r="H75" i="1"/>
  <c r="E70" i="4"/>
  <c r="G74" i="1"/>
  <c r="M70" i="4" l="1"/>
  <c r="L70" i="4"/>
  <c r="K70" i="4"/>
  <c r="G70" i="4"/>
  <c r="H70" i="4"/>
  <c r="I70" i="4"/>
  <c r="J70" i="4"/>
  <c r="E71" i="4"/>
  <c r="G75" i="1"/>
  <c r="H76" i="1"/>
  <c r="M71" i="4" l="1"/>
  <c r="L71" i="4"/>
  <c r="H71" i="4"/>
  <c r="G71" i="4"/>
  <c r="J71" i="4"/>
  <c r="I71" i="4"/>
  <c r="K71" i="4"/>
  <c r="I75" i="1"/>
  <c r="H77" i="1"/>
  <c r="E72" i="4"/>
  <c r="G76" i="1"/>
  <c r="M72" i="4" l="1"/>
  <c r="L72" i="4"/>
  <c r="G72" i="4"/>
  <c r="I72" i="4"/>
  <c r="J72" i="4"/>
  <c r="H72" i="4"/>
  <c r="K72" i="4"/>
  <c r="I76" i="1"/>
  <c r="G77" i="1"/>
  <c r="I77" i="1" l="1"/>
  <c r="M7" i="1" s="1"/>
</calcChain>
</file>

<file path=xl/sharedStrings.xml><?xml version="1.0" encoding="utf-8"?>
<sst xmlns="http://schemas.openxmlformats.org/spreadsheetml/2006/main" count="53" uniqueCount="39">
  <si>
    <t>Plan</t>
  </si>
  <si>
    <t>Current Age</t>
  </si>
  <si>
    <t>Age Payments Begin</t>
  </si>
  <si>
    <t>Years of Payment</t>
  </si>
  <si>
    <t>Age</t>
  </si>
  <si>
    <t>Year</t>
  </si>
  <si>
    <t>Total Payment</t>
  </si>
  <si>
    <t>Total Years of Payment</t>
  </si>
  <si>
    <t>Age of Last Payment</t>
  </si>
  <si>
    <t>Plan #1</t>
  </si>
  <si>
    <t>Plan #2</t>
  </si>
  <si>
    <t>Plan #3</t>
  </si>
  <si>
    <t>Plan #4</t>
  </si>
  <si>
    <t>Plan #5</t>
  </si>
  <si>
    <t>Plan #6</t>
  </si>
  <si>
    <t>Plan #7</t>
  </si>
  <si>
    <t>Client selections</t>
  </si>
  <si>
    <t>Age payments begin</t>
  </si>
  <si>
    <t>Current age</t>
  </si>
  <si>
    <t>Description</t>
  </si>
  <si>
    <t>ANNUITY ILLUSTRATION TOOL</t>
  </si>
  <si>
    <t>Annuity Payment</t>
  </si>
  <si>
    <t>Annuitant decides which age the payments start and end at;</t>
  </si>
  <si>
    <t>Annuitant decides which age the payments start and end at.</t>
  </si>
  <si>
    <t>Annuitant decides which age the payments start and end at. The annuitant receives a total of</t>
  </si>
  <si>
    <t>Annuitant decides which age the payments start and end at. The first half of the payments are</t>
  </si>
  <si>
    <t>Annuitant decides which age the payments start, and they go to age 110;</t>
  </si>
  <si>
    <t>Payments start at age 65 and go to age 94; initial payment is</t>
  </si>
  <si>
    <t>and payments increase by</t>
  </si>
  <si>
    <t>Payments start at age 60 and go to age 100. Each year, the annuitant gets</t>
  </si>
  <si>
    <t xml:space="preserve"> per year.</t>
  </si>
  <si>
    <t xml:space="preserve"> is paid every second year, with the first payment occuring in the first year.</t>
  </si>
  <si>
    <t xml:space="preserve"> each.</t>
  </si>
  <si>
    <t xml:space="preserve"> in payments, and equal payments are made each year.</t>
  </si>
  <si>
    <t xml:space="preserve"> each, whereas the second half of the payments are</t>
  </si>
  <si>
    <t xml:space="preserve"> per year they’ve been alive. For example, at age 64 the annuitant would receive</t>
  </si>
  <si>
    <t>.</t>
  </si>
  <si>
    <t xml:space="preserve"> each year.</t>
  </si>
  <si>
    <t>For Agent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</si>
</sst>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6" formatCode="&quot;$&quot;#,##0.0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54">
    <xf numFmtId="0" fontId="0" fillId="0" borderId="0" xfId="0"/>
    <xf numFmtId="0" fontId="0" fillId="0" borderId="1" xfId="0" applyBorder="1"/>
    <xf numFmtId="0" fontId="3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3" fillId="3" borderId="1" xfId="0" applyFont="1" applyFill="1" applyBorder="1"/>
    <xf numFmtId="0" fontId="3" fillId="3" borderId="4" xfId="0" applyFont="1" applyFill="1" applyBorder="1"/>
    <xf numFmtId="44" fontId="0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4" borderId="1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44" fontId="0" fillId="0" borderId="0" xfId="1" applyNumberFormat="1" applyFont="1" applyAlignment="1">
      <alignment horizontal="left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6" borderId="0" xfId="0" applyFont="1" applyFill="1"/>
    <xf numFmtId="0" fontId="2" fillId="6" borderId="0" xfId="0" applyFont="1" applyFill="1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3" fillId="7" borderId="0" xfId="0" applyFont="1" applyFill="1"/>
    <xf numFmtId="0" fontId="7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8" fillId="0" borderId="0" xfId="0" applyFont="1"/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" xfId="0" applyBorder="1"/>
    <xf numFmtId="166" fontId="2" fillId="0" borderId="9" xfId="1" applyNumberFormat="1" applyFont="1" applyFill="1" applyBorder="1" applyAlignment="1">
      <alignment horizontal="center"/>
    </xf>
    <xf numFmtId="166" fontId="0" fillId="0" borderId="9" xfId="0" applyNumberFormat="1" applyFont="1" applyBorder="1" applyAlignment="1">
      <alignment horizontal="left"/>
    </xf>
    <xf numFmtId="0" fontId="3" fillId="3" borderId="11" xfId="0" applyFont="1" applyFill="1" applyBorder="1"/>
    <xf numFmtId="166" fontId="2" fillId="0" borderId="8" xfId="1" applyNumberFormat="1" applyFont="1" applyFill="1" applyBorder="1" applyAlignment="1">
      <alignment horizontal="left"/>
    </xf>
    <xf numFmtId="0" fontId="0" fillId="7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3" fillId="4" borderId="1" xfId="0" applyFont="1" applyFill="1" applyBorder="1" applyAlignment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  <xf numFmtId="166" fontId="9" fillId="5" borderId="8" xfId="1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/>
    <xf numFmtId="0" fontId="0" fillId="0" borderId="8" xfId="0" applyBorder="1" applyAlignment="1"/>
    <xf numFmtId="166" fontId="0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center"/>
    </xf>
    <xf numFmtId="44" fontId="0" fillId="0" borderId="3" xfId="1" applyNumberFormat="1" applyFont="1" applyBorder="1"/>
    <xf numFmtId="44" fontId="0" fillId="0" borderId="7" xfId="1" applyNumberFormat="1" applyFont="1" applyBorder="1"/>
    <xf numFmtId="44" fontId="0" fillId="0" borderId="6" xfId="1" applyNumberFormat="1" applyFont="1" applyBorder="1"/>
    <xf numFmtId="44" fontId="0" fillId="0" borderId="0" xfId="0" applyNumberFormat="1"/>
    <xf numFmtId="166" fontId="6" fillId="6" borderId="0" xfId="1" applyNumberFormat="1" applyFont="1" applyFill="1" applyAlignment="1">
      <alignment horizontal="right" vertical="center"/>
    </xf>
  </cellXfs>
  <cellStyles count="3">
    <cellStyle name="Currency" xfId="1" builtinId="4"/>
    <cellStyle name="Normal" xfId="0" builtinId="0"/>
    <cellStyle name="Normal 2" xfId="2" xr:uid="{D3ED9AAF-75E2-4930-B8CE-13E3EDF932D2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5</xdr:col>
      <xdr:colOff>19050</xdr:colOff>
      <xdr:row>15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0A8B6-55D6-4083-849C-169DE83A4FEA}"/>
            </a:ext>
          </a:extLst>
        </xdr:cNvPr>
        <xdr:cNvSpPr/>
      </xdr:nvSpPr>
      <xdr:spPr>
        <a:xfrm>
          <a:off x="323850" y="1238250"/>
          <a:ext cx="2343150" cy="2162175"/>
        </a:xfrm>
        <a:prstGeom prst="roundRect">
          <a:avLst>
            <a:gd name="adj" fmla="val 4003"/>
          </a:avLst>
        </a:prstGeom>
        <a:noFill/>
        <a:ln w="127000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14</xdr:row>
      <xdr:rowOff>19051</xdr:rowOff>
    </xdr:from>
    <xdr:to>
      <xdr:col>2</xdr:col>
      <xdr:colOff>1390650</xdr:colOff>
      <xdr:row>15</xdr:row>
      <xdr:rowOff>85726</xdr:rowOff>
    </xdr:to>
    <xdr:sp macro="[0]!Sheet1.clear_choic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1D4576-40C3-41C7-9853-10BB5721DC9E}"/>
            </a:ext>
          </a:extLst>
        </xdr:cNvPr>
        <xdr:cNvSpPr/>
      </xdr:nvSpPr>
      <xdr:spPr>
        <a:xfrm>
          <a:off x="1609725" y="3067051"/>
          <a:ext cx="619125" cy="266700"/>
        </a:xfrm>
        <a:prstGeom prst="roundRect">
          <a:avLst>
            <a:gd name="adj" fmla="val 20968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Clear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19049</xdr:colOff>
      <xdr:row>4</xdr:row>
      <xdr:rowOff>133350</xdr:rowOff>
    </xdr:from>
    <xdr:to>
      <xdr:col>14</xdr:col>
      <xdr:colOff>0</xdr:colOff>
      <xdr:row>9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747CEC-311B-43E6-91E4-8FCF51F0BE2D}"/>
            </a:ext>
          </a:extLst>
        </xdr:cNvPr>
        <xdr:cNvSpPr/>
      </xdr:nvSpPr>
      <xdr:spPr>
        <a:xfrm>
          <a:off x="6857999" y="1028700"/>
          <a:ext cx="2743201" cy="895350"/>
        </a:xfrm>
        <a:prstGeom prst="roundRect">
          <a:avLst>
            <a:gd name="adj" fmla="val 7813"/>
          </a:avLst>
        </a:prstGeom>
        <a:noFill/>
        <a:ln w="1651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D2CE-00F4-5C49-8FA0-A92316521FE6}">
  <sheetPr codeName="Sheet1">
    <pageSetUpPr autoPageBreaks="0"/>
  </sheetPr>
  <dimension ref="B1:O77"/>
  <sheetViews>
    <sheetView showGridLines="0" tabSelected="1" zoomScaleNormal="100" workbookViewId="0">
      <selection activeCell="D3" sqref="D3"/>
    </sheetView>
  </sheetViews>
  <sheetFormatPr defaultColWidth="11" defaultRowHeight="15.75" x14ac:dyDescent="0.25"/>
  <cols>
    <col min="1" max="1" width="4.25" customWidth="1"/>
    <col min="2" max="2" width="1.25" customWidth="1"/>
    <col min="3" max="3" width="20" customWidth="1"/>
    <col min="4" max="4" width="7.625" style="10" customWidth="1"/>
    <col min="5" max="5" width="1.625" customWidth="1"/>
    <col min="6" max="6" width="17.75" customWidth="1"/>
    <col min="7" max="8" width="7.5" customWidth="1"/>
    <col min="9" max="9" width="18.5" customWidth="1"/>
    <col min="10" max="10" width="4" customWidth="1"/>
    <col min="11" max="11" width="1.625" customWidth="1"/>
    <col min="12" max="12" width="20.875" bestFit="1" customWidth="1"/>
    <col min="13" max="13" width="12.125" customWidth="1"/>
    <col min="14" max="14" width="1.625" customWidth="1"/>
    <col min="15" max="15" width="11" style="4" customWidth="1"/>
  </cols>
  <sheetData>
    <row r="1" spans="2:14" ht="13.5" customHeight="1" x14ac:dyDescent="0.25"/>
    <row r="2" spans="2:14" ht="25.5" customHeight="1" x14ac:dyDescent="0.35">
      <c r="F2" s="37" t="s">
        <v>20</v>
      </c>
      <c r="G2" s="37"/>
      <c r="H2" s="37"/>
      <c r="I2" s="37"/>
      <c r="J2" s="37"/>
    </row>
    <row r="3" spans="2:14" ht="16.5" customHeight="1" x14ac:dyDescent="0.35">
      <c r="F3" s="38" t="s">
        <v>38</v>
      </c>
      <c r="G3" s="38"/>
      <c r="H3" s="38"/>
      <c r="I3" s="38"/>
      <c r="J3" s="26"/>
    </row>
    <row r="4" spans="2:14" ht="32.1" customHeight="1" x14ac:dyDescent="0.25"/>
    <row r="5" spans="2:14" x14ac:dyDescent="0.25">
      <c r="G5" s="19" t="s">
        <v>4</v>
      </c>
      <c r="H5" s="19" t="s">
        <v>5</v>
      </c>
      <c r="I5" s="18" t="s">
        <v>21</v>
      </c>
    </row>
    <row r="6" spans="2:14" ht="1.5" customHeight="1" x14ac:dyDescent="0.25">
      <c r="B6" s="23"/>
      <c r="C6" s="23"/>
      <c r="D6" s="24" t="s">
        <v>9</v>
      </c>
      <c r="E6" s="23"/>
      <c r="G6" s="19"/>
      <c r="H6" s="19"/>
      <c r="I6" s="2"/>
      <c r="J6" s="15"/>
      <c r="K6" s="16"/>
      <c r="L6" s="12"/>
      <c r="M6" s="12"/>
      <c r="N6" s="12"/>
    </row>
    <row r="7" spans="2:14" ht="17.100000000000001" customHeight="1" x14ac:dyDescent="0.25">
      <c r="B7" s="23"/>
      <c r="C7" s="25" t="s">
        <v>0</v>
      </c>
      <c r="D7" s="27" t="s">
        <v>9</v>
      </c>
      <c r="E7" s="23"/>
      <c r="G7" s="17">
        <f>'Payment Calculator'!E2</f>
        <v>0</v>
      </c>
      <c r="H7" s="17">
        <f>'Payment Calculator'!F2</f>
        <v>1</v>
      </c>
      <c r="I7" s="14">
        <f t="shared" ref="I7:I38" si="0">IF(H7="","", HLOOKUP($D$7, plan_vs_payment, H7+1))</f>
        <v>0</v>
      </c>
      <c r="K7" s="22"/>
      <c r="L7" s="20" t="s">
        <v>6</v>
      </c>
      <c r="M7" s="53">
        <f>SUM(I7:I77)</f>
        <v>0</v>
      </c>
      <c r="N7" s="22"/>
    </row>
    <row r="8" spans="2:14" ht="17.100000000000001" customHeight="1" x14ac:dyDescent="0.25">
      <c r="B8" s="23"/>
      <c r="C8" s="23"/>
      <c r="D8" s="24"/>
      <c r="E8" s="23"/>
      <c r="G8" s="17">
        <f>'Payment Calculator'!E3</f>
        <v>1</v>
      </c>
      <c r="H8" s="17">
        <f>'Payment Calculator'!F3</f>
        <v>2</v>
      </c>
      <c r="I8" s="9">
        <f t="shared" si="0"/>
        <v>0</v>
      </c>
      <c r="K8" s="22"/>
      <c r="L8" s="20" t="s">
        <v>7</v>
      </c>
      <c r="M8" s="21" t="str">
        <f>IF(D9 = "", "", D13)</f>
        <v/>
      </c>
      <c r="N8" s="22"/>
    </row>
    <row r="9" spans="2:14" ht="17.100000000000001" customHeight="1" x14ac:dyDescent="0.25">
      <c r="B9" s="23"/>
      <c r="C9" s="25" t="s">
        <v>1</v>
      </c>
      <c r="D9" s="27"/>
      <c r="E9" s="23"/>
      <c r="G9" s="17">
        <f>'Payment Calculator'!E4</f>
        <v>2</v>
      </c>
      <c r="H9" s="17">
        <f>'Payment Calculator'!F4</f>
        <v>3</v>
      </c>
      <c r="I9" s="9">
        <f t="shared" si="0"/>
        <v>0</v>
      </c>
      <c r="K9" s="22"/>
      <c r="L9" s="20" t="s">
        <v>8</v>
      </c>
      <c r="M9" s="21" t="str">
        <f>IF(OR(D9 = "", D11 = "", D13 = ""), "", D11+(D13-1))</f>
        <v/>
      </c>
      <c r="N9" s="22"/>
    </row>
    <row r="10" spans="2:14" ht="17.100000000000001" customHeight="1" x14ac:dyDescent="0.25">
      <c r="B10" s="23"/>
      <c r="C10" s="23"/>
      <c r="D10" s="36"/>
      <c r="E10" s="23"/>
      <c r="G10" s="17">
        <f>'Payment Calculator'!E5</f>
        <v>3</v>
      </c>
      <c r="H10" s="17">
        <f>'Payment Calculator'!F5</f>
        <v>4</v>
      </c>
      <c r="I10" s="9">
        <f t="shared" si="0"/>
        <v>0</v>
      </c>
      <c r="K10" s="22"/>
      <c r="L10" s="22"/>
      <c r="M10" s="22"/>
      <c r="N10" s="22"/>
    </row>
    <row r="11" spans="2:14" ht="17.100000000000001" customHeight="1" x14ac:dyDescent="0.25">
      <c r="B11" s="23"/>
      <c r="C11" s="25" t="s">
        <v>2</v>
      </c>
      <c r="D11" s="27"/>
      <c r="E11" s="23"/>
      <c r="G11" s="17">
        <f>'Payment Calculator'!E6</f>
        <v>4</v>
      </c>
      <c r="H11" s="17">
        <f>'Payment Calculator'!F6</f>
        <v>5</v>
      </c>
      <c r="I11" s="9">
        <f t="shared" si="0"/>
        <v>0</v>
      </c>
    </row>
    <row r="12" spans="2:14" ht="17.100000000000001" customHeight="1" x14ac:dyDescent="0.25">
      <c r="B12" s="23"/>
      <c r="C12" s="23"/>
      <c r="D12" s="36"/>
      <c r="E12" s="23"/>
      <c r="G12" s="17">
        <f>'Payment Calculator'!E7</f>
        <v>5</v>
      </c>
      <c r="H12" s="17">
        <f>'Payment Calculator'!F7</f>
        <v>6</v>
      </c>
      <c r="I12" s="9">
        <f t="shared" si="0"/>
        <v>0</v>
      </c>
    </row>
    <row r="13" spans="2:14" ht="17.100000000000001" customHeight="1" x14ac:dyDescent="0.25">
      <c r="B13" s="23"/>
      <c r="C13" s="25" t="s">
        <v>3</v>
      </c>
      <c r="D13" s="27"/>
      <c r="E13" s="23"/>
      <c r="G13" s="17">
        <f>'Payment Calculator'!E8</f>
        <v>6</v>
      </c>
      <c r="H13" s="17">
        <f>'Payment Calculator'!F8</f>
        <v>7</v>
      </c>
      <c r="I13" s="9">
        <f t="shared" si="0"/>
        <v>0</v>
      </c>
    </row>
    <row r="14" spans="2:14" ht="17.100000000000001" customHeight="1" x14ac:dyDescent="0.25">
      <c r="B14" s="23"/>
      <c r="C14" s="23"/>
      <c r="D14" s="24"/>
      <c r="E14" s="23"/>
      <c r="G14" s="17">
        <f>'Payment Calculator'!E9</f>
        <v>7</v>
      </c>
      <c r="H14" s="17">
        <f>'Payment Calculator'!F9</f>
        <v>8</v>
      </c>
      <c r="I14" s="9">
        <f t="shared" si="0"/>
        <v>0</v>
      </c>
    </row>
    <row r="15" spans="2:14" ht="17.100000000000001" customHeight="1" x14ac:dyDescent="0.25">
      <c r="B15" s="23"/>
      <c r="C15" s="23"/>
      <c r="D15" s="24"/>
      <c r="E15" s="23"/>
      <c r="G15" s="17">
        <f>'Payment Calculator'!E10</f>
        <v>8</v>
      </c>
      <c r="H15" s="17">
        <f>'Payment Calculator'!F10</f>
        <v>9</v>
      </c>
      <c r="I15" s="9">
        <f t="shared" si="0"/>
        <v>0</v>
      </c>
    </row>
    <row r="16" spans="2:14" ht="17.100000000000001" customHeight="1" x14ac:dyDescent="0.25">
      <c r="B16" s="23"/>
      <c r="C16" s="23"/>
      <c r="D16" s="24"/>
      <c r="E16" s="23"/>
      <c r="G16" s="17">
        <f>'Payment Calculator'!E11</f>
        <v>9</v>
      </c>
      <c r="H16" s="17">
        <f>'Payment Calculator'!F11</f>
        <v>10</v>
      </c>
      <c r="I16" s="9">
        <f t="shared" si="0"/>
        <v>0</v>
      </c>
      <c r="M16" s="52"/>
    </row>
    <row r="17" spans="7:13" ht="17.100000000000001" customHeight="1" x14ac:dyDescent="0.25">
      <c r="G17" s="17">
        <f>'Payment Calculator'!E12</f>
        <v>10</v>
      </c>
      <c r="H17" s="17">
        <f>'Payment Calculator'!F12</f>
        <v>11</v>
      </c>
      <c r="I17" s="9">
        <f t="shared" si="0"/>
        <v>0</v>
      </c>
    </row>
    <row r="18" spans="7:13" ht="17.100000000000001" customHeight="1" x14ac:dyDescent="0.25">
      <c r="G18" s="17">
        <f>'Payment Calculator'!E13</f>
        <v>11</v>
      </c>
      <c r="H18" s="17">
        <f>'Payment Calculator'!F13</f>
        <v>12</v>
      </c>
      <c r="I18" s="9">
        <f t="shared" si="0"/>
        <v>0</v>
      </c>
    </row>
    <row r="19" spans="7:13" ht="17.100000000000001" customHeight="1" x14ac:dyDescent="0.25">
      <c r="G19" s="17">
        <f>'Payment Calculator'!E14</f>
        <v>12</v>
      </c>
      <c r="H19" s="17">
        <f>'Payment Calculator'!F14</f>
        <v>13</v>
      </c>
      <c r="I19" s="9">
        <f t="shared" si="0"/>
        <v>0</v>
      </c>
    </row>
    <row r="20" spans="7:13" ht="17.100000000000001" customHeight="1" x14ac:dyDescent="0.25">
      <c r="G20" s="17">
        <f>'Payment Calculator'!E15</f>
        <v>13</v>
      </c>
      <c r="H20" s="17">
        <f>'Payment Calculator'!F15</f>
        <v>14</v>
      </c>
      <c r="I20" s="9">
        <f t="shared" si="0"/>
        <v>0</v>
      </c>
    </row>
    <row r="21" spans="7:13" ht="17.100000000000001" customHeight="1" x14ac:dyDescent="0.25">
      <c r="G21" s="17">
        <f>'Payment Calculator'!E16</f>
        <v>14</v>
      </c>
      <c r="H21" s="17">
        <f>'Payment Calculator'!F16</f>
        <v>15</v>
      </c>
      <c r="I21" s="9">
        <f t="shared" si="0"/>
        <v>0</v>
      </c>
    </row>
    <row r="22" spans="7:13" ht="17.100000000000001" customHeight="1" x14ac:dyDescent="0.25">
      <c r="G22" s="17">
        <f>'Payment Calculator'!E17</f>
        <v>15</v>
      </c>
      <c r="H22" s="17">
        <f>'Payment Calculator'!F17</f>
        <v>16</v>
      </c>
      <c r="I22" s="9">
        <f t="shared" si="0"/>
        <v>0</v>
      </c>
    </row>
    <row r="23" spans="7:13" ht="17.100000000000001" customHeight="1" x14ac:dyDescent="0.25">
      <c r="G23" s="17">
        <f>'Payment Calculator'!E18</f>
        <v>16</v>
      </c>
      <c r="H23" s="17">
        <f>'Payment Calculator'!F18</f>
        <v>17</v>
      </c>
      <c r="I23" s="9">
        <f t="shared" si="0"/>
        <v>0</v>
      </c>
    </row>
    <row r="24" spans="7:13" ht="17.100000000000001" customHeight="1" x14ac:dyDescent="0.25">
      <c r="G24" s="17">
        <f>'Payment Calculator'!E19</f>
        <v>17</v>
      </c>
      <c r="H24" s="17">
        <f>'Payment Calculator'!F19</f>
        <v>18</v>
      </c>
      <c r="I24" s="9">
        <f t="shared" si="0"/>
        <v>0</v>
      </c>
    </row>
    <row r="25" spans="7:13" ht="17.100000000000001" customHeight="1" x14ac:dyDescent="0.25">
      <c r="G25" s="17">
        <f>'Payment Calculator'!E20</f>
        <v>18</v>
      </c>
      <c r="H25" s="17">
        <f>'Payment Calculator'!F20</f>
        <v>19</v>
      </c>
      <c r="I25" s="9">
        <f t="shared" si="0"/>
        <v>0</v>
      </c>
    </row>
    <row r="26" spans="7:13" ht="17.100000000000001" customHeight="1" x14ac:dyDescent="0.25">
      <c r="G26" s="17">
        <f>'Payment Calculator'!E21</f>
        <v>19</v>
      </c>
      <c r="H26" s="17">
        <f>'Payment Calculator'!F21</f>
        <v>20</v>
      </c>
      <c r="I26" s="9">
        <f t="shared" si="0"/>
        <v>0</v>
      </c>
    </row>
    <row r="27" spans="7:13" ht="17.100000000000001" customHeight="1" x14ac:dyDescent="0.25">
      <c r="G27" s="17">
        <f>'Payment Calculator'!E22</f>
        <v>20</v>
      </c>
      <c r="H27" s="17">
        <f>'Payment Calculator'!F22</f>
        <v>21</v>
      </c>
      <c r="I27" s="9">
        <f t="shared" si="0"/>
        <v>0</v>
      </c>
      <c r="L27" s="10"/>
      <c r="M27" s="10"/>
    </row>
    <row r="28" spans="7:13" ht="17.100000000000001" customHeight="1" x14ac:dyDescent="0.25">
      <c r="G28" s="17">
        <f>'Payment Calculator'!E23</f>
        <v>21</v>
      </c>
      <c r="H28" s="17">
        <f>'Payment Calculator'!F23</f>
        <v>22</v>
      </c>
      <c r="I28" s="9">
        <f t="shared" si="0"/>
        <v>0</v>
      </c>
    </row>
    <row r="29" spans="7:13" ht="17.100000000000001" customHeight="1" x14ac:dyDescent="0.25">
      <c r="G29" s="17">
        <f>'Payment Calculator'!E24</f>
        <v>22</v>
      </c>
      <c r="H29" s="17">
        <f>'Payment Calculator'!F24</f>
        <v>23</v>
      </c>
      <c r="I29" s="9">
        <f t="shared" si="0"/>
        <v>0</v>
      </c>
    </row>
    <row r="30" spans="7:13" ht="17.100000000000001" customHeight="1" x14ac:dyDescent="0.25">
      <c r="G30" s="17">
        <f>'Payment Calculator'!E25</f>
        <v>23</v>
      </c>
      <c r="H30" s="17">
        <f>'Payment Calculator'!F25</f>
        <v>24</v>
      </c>
      <c r="I30" s="9">
        <f t="shared" si="0"/>
        <v>0</v>
      </c>
    </row>
    <row r="31" spans="7:13" ht="17.100000000000001" customHeight="1" x14ac:dyDescent="0.25">
      <c r="G31" s="17">
        <f>'Payment Calculator'!E26</f>
        <v>24</v>
      </c>
      <c r="H31" s="17">
        <f>'Payment Calculator'!F26</f>
        <v>25</v>
      </c>
      <c r="I31" s="9">
        <f t="shared" si="0"/>
        <v>0</v>
      </c>
    </row>
    <row r="32" spans="7:13" ht="17.100000000000001" customHeight="1" x14ac:dyDescent="0.25">
      <c r="G32" s="17">
        <f>'Payment Calculator'!E27</f>
        <v>25</v>
      </c>
      <c r="H32" s="17">
        <f>'Payment Calculator'!F27</f>
        <v>26</v>
      </c>
      <c r="I32" s="9">
        <f t="shared" si="0"/>
        <v>0</v>
      </c>
      <c r="L32" s="13"/>
    </row>
    <row r="33" spans="7:9" ht="17.100000000000001" customHeight="1" x14ac:dyDescent="0.25">
      <c r="G33" s="17">
        <f>'Payment Calculator'!E28</f>
        <v>26</v>
      </c>
      <c r="H33" s="17">
        <f>'Payment Calculator'!F28</f>
        <v>27</v>
      </c>
      <c r="I33" s="9">
        <f t="shared" si="0"/>
        <v>0</v>
      </c>
    </row>
    <row r="34" spans="7:9" ht="17.100000000000001" customHeight="1" x14ac:dyDescent="0.25">
      <c r="G34" s="17">
        <f>'Payment Calculator'!E29</f>
        <v>27</v>
      </c>
      <c r="H34" s="17">
        <f>'Payment Calculator'!F29</f>
        <v>28</v>
      </c>
      <c r="I34" s="9">
        <f t="shared" si="0"/>
        <v>0</v>
      </c>
    </row>
    <row r="35" spans="7:9" ht="17.100000000000001" customHeight="1" x14ac:dyDescent="0.25">
      <c r="G35" s="17">
        <f>'Payment Calculator'!E30</f>
        <v>28</v>
      </c>
      <c r="H35" s="17">
        <f>'Payment Calculator'!F30</f>
        <v>29</v>
      </c>
      <c r="I35" s="9">
        <f t="shared" si="0"/>
        <v>0</v>
      </c>
    </row>
    <row r="36" spans="7:9" ht="17.100000000000001" customHeight="1" x14ac:dyDescent="0.25">
      <c r="G36" s="17">
        <f>'Payment Calculator'!E31</f>
        <v>29</v>
      </c>
      <c r="H36" s="17">
        <f>'Payment Calculator'!F31</f>
        <v>30</v>
      </c>
      <c r="I36" s="9">
        <f t="shared" si="0"/>
        <v>0</v>
      </c>
    </row>
    <row r="37" spans="7:9" ht="17.100000000000001" customHeight="1" x14ac:dyDescent="0.25">
      <c r="G37" s="17">
        <f>'Payment Calculator'!E32</f>
        <v>30</v>
      </c>
      <c r="H37" s="17">
        <f>'Payment Calculator'!F32</f>
        <v>31</v>
      </c>
      <c r="I37" s="9">
        <f t="shared" si="0"/>
        <v>0</v>
      </c>
    </row>
    <row r="38" spans="7:9" ht="17.100000000000001" customHeight="1" x14ac:dyDescent="0.25">
      <c r="G38" s="17">
        <f>'Payment Calculator'!E33</f>
        <v>31</v>
      </c>
      <c r="H38" s="17">
        <f>'Payment Calculator'!F33</f>
        <v>32</v>
      </c>
      <c r="I38" s="9">
        <f t="shared" si="0"/>
        <v>0</v>
      </c>
    </row>
    <row r="39" spans="7:9" ht="17.100000000000001" customHeight="1" x14ac:dyDescent="0.25">
      <c r="G39" s="17">
        <f>'Payment Calculator'!E34</f>
        <v>32</v>
      </c>
      <c r="H39" s="17">
        <f>'Payment Calculator'!F34</f>
        <v>33</v>
      </c>
      <c r="I39" s="9">
        <f t="shared" ref="I39:I70" si="1">IF(H39="","", HLOOKUP($D$7, plan_vs_payment, H39+1))</f>
        <v>0</v>
      </c>
    </row>
    <row r="40" spans="7:9" ht="17.100000000000001" customHeight="1" x14ac:dyDescent="0.25">
      <c r="G40" s="17">
        <f>'Payment Calculator'!E35</f>
        <v>33</v>
      </c>
      <c r="H40" s="17">
        <f>'Payment Calculator'!F35</f>
        <v>34</v>
      </c>
      <c r="I40" s="9">
        <f t="shared" si="1"/>
        <v>0</v>
      </c>
    </row>
    <row r="41" spans="7:9" ht="17.100000000000001" customHeight="1" x14ac:dyDescent="0.25">
      <c r="G41" s="17">
        <f>'Payment Calculator'!E36</f>
        <v>34</v>
      </c>
      <c r="H41" s="17">
        <f>'Payment Calculator'!F36</f>
        <v>35</v>
      </c>
      <c r="I41" s="9">
        <f t="shared" si="1"/>
        <v>0</v>
      </c>
    </row>
    <row r="42" spans="7:9" ht="17.100000000000001" customHeight="1" x14ac:dyDescent="0.25">
      <c r="G42" s="17">
        <f>'Payment Calculator'!E37</f>
        <v>35</v>
      </c>
      <c r="H42" s="17">
        <f>'Payment Calculator'!F37</f>
        <v>36</v>
      </c>
      <c r="I42" s="9">
        <f t="shared" si="1"/>
        <v>0</v>
      </c>
    </row>
    <row r="43" spans="7:9" ht="17.100000000000001" customHeight="1" x14ac:dyDescent="0.25">
      <c r="G43" s="17">
        <f>'Payment Calculator'!E38</f>
        <v>36</v>
      </c>
      <c r="H43" s="17">
        <f>'Payment Calculator'!F38</f>
        <v>37</v>
      </c>
      <c r="I43" s="9">
        <f t="shared" si="1"/>
        <v>0</v>
      </c>
    </row>
    <row r="44" spans="7:9" ht="17.100000000000001" customHeight="1" x14ac:dyDescent="0.25">
      <c r="G44" s="17">
        <f>'Payment Calculator'!E39</f>
        <v>37</v>
      </c>
      <c r="H44" s="17">
        <f>'Payment Calculator'!F39</f>
        <v>38</v>
      </c>
      <c r="I44" s="9">
        <f t="shared" si="1"/>
        <v>0</v>
      </c>
    </row>
    <row r="45" spans="7:9" ht="17.100000000000001" customHeight="1" x14ac:dyDescent="0.25">
      <c r="G45" s="17">
        <f>'Payment Calculator'!E40</f>
        <v>38</v>
      </c>
      <c r="H45" s="17">
        <f>'Payment Calculator'!F40</f>
        <v>39</v>
      </c>
      <c r="I45" s="9">
        <f t="shared" si="1"/>
        <v>0</v>
      </c>
    </row>
    <row r="46" spans="7:9" ht="17.100000000000001" customHeight="1" x14ac:dyDescent="0.25">
      <c r="G46" s="17">
        <f>'Payment Calculator'!E41</f>
        <v>39</v>
      </c>
      <c r="H46" s="17">
        <f>'Payment Calculator'!F41</f>
        <v>40</v>
      </c>
      <c r="I46" s="9">
        <f t="shared" si="1"/>
        <v>0</v>
      </c>
    </row>
    <row r="47" spans="7:9" ht="17.100000000000001" customHeight="1" x14ac:dyDescent="0.25">
      <c r="G47" s="17">
        <f>'Payment Calculator'!E42</f>
        <v>40</v>
      </c>
      <c r="H47" s="17">
        <f>'Payment Calculator'!F42</f>
        <v>41</v>
      </c>
      <c r="I47" s="9">
        <f t="shared" si="1"/>
        <v>0</v>
      </c>
    </row>
    <row r="48" spans="7:9" ht="17.100000000000001" customHeight="1" x14ac:dyDescent="0.25">
      <c r="G48" s="17">
        <f>'Payment Calculator'!E43</f>
        <v>41</v>
      </c>
      <c r="H48" s="17">
        <f>'Payment Calculator'!F43</f>
        <v>42</v>
      </c>
      <c r="I48" s="9">
        <f t="shared" si="1"/>
        <v>0</v>
      </c>
    </row>
    <row r="49" spans="7:9" ht="17.100000000000001" customHeight="1" x14ac:dyDescent="0.25">
      <c r="G49" s="17">
        <f>'Payment Calculator'!E44</f>
        <v>42</v>
      </c>
      <c r="H49" s="17">
        <f>'Payment Calculator'!F44</f>
        <v>43</v>
      </c>
      <c r="I49" s="9">
        <f t="shared" si="1"/>
        <v>0</v>
      </c>
    </row>
    <row r="50" spans="7:9" ht="17.100000000000001" customHeight="1" x14ac:dyDescent="0.25">
      <c r="G50" s="17">
        <f>'Payment Calculator'!E45</f>
        <v>43</v>
      </c>
      <c r="H50" s="17">
        <f>'Payment Calculator'!F45</f>
        <v>44</v>
      </c>
      <c r="I50" s="9">
        <f t="shared" si="1"/>
        <v>0</v>
      </c>
    </row>
    <row r="51" spans="7:9" ht="17.100000000000001" customHeight="1" x14ac:dyDescent="0.25">
      <c r="G51" s="17">
        <f>'Payment Calculator'!E46</f>
        <v>44</v>
      </c>
      <c r="H51" s="17">
        <f>'Payment Calculator'!F46</f>
        <v>45</v>
      </c>
      <c r="I51" s="9">
        <f t="shared" si="1"/>
        <v>0</v>
      </c>
    </row>
    <row r="52" spans="7:9" ht="17.100000000000001" customHeight="1" x14ac:dyDescent="0.25">
      <c r="G52" s="17">
        <f>'Payment Calculator'!E47</f>
        <v>45</v>
      </c>
      <c r="H52" s="17">
        <f>'Payment Calculator'!F47</f>
        <v>46</v>
      </c>
      <c r="I52" s="9">
        <f t="shared" si="1"/>
        <v>0</v>
      </c>
    </row>
    <row r="53" spans="7:9" ht="17.100000000000001" customHeight="1" x14ac:dyDescent="0.25">
      <c r="G53" s="17">
        <f>'Payment Calculator'!E48</f>
        <v>46</v>
      </c>
      <c r="H53" s="17">
        <f>'Payment Calculator'!F48</f>
        <v>47</v>
      </c>
      <c r="I53" s="9">
        <f t="shared" si="1"/>
        <v>0</v>
      </c>
    </row>
    <row r="54" spans="7:9" ht="17.100000000000001" customHeight="1" x14ac:dyDescent="0.25">
      <c r="G54" s="17">
        <f>'Payment Calculator'!E49</f>
        <v>47</v>
      </c>
      <c r="H54" s="17">
        <f>'Payment Calculator'!F49</f>
        <v>48</v>
      </c>
      <c r="I54" s="9">
        <f t="shared" si="1"/>
        <v>0</v>
      </c>
    </row>
    <row r="55" spans="7:9" ht="17.100000000000001" customHeight="1" x14ac:dyDescent="0.25">
      <c r="G55" s="17">
        <f>'Payment Calculator'!E50</f>
        <v>48</v>
      </c>
      <c r="H55" s="17">
        <f>'Payment Calculator'!F50</f>
        <v>49</v>
      </c>
      <c r="I55" s="9">
        <f t="shared" si="1"/>
        <v>0</v>
      </c>
    </row>
    <row r="56" spans="7:9" ht="17.100000000000001" customHeight="1" x14ac:dyDescent="0.25">
      <c r="G56" s="17">
        <f>'Payment Calculator'!E51</f>
        <v>49</v>
      </c>
      <c r="H56" s="17">
        <f>'Payment Calculator'!F51</f>
        <v>50</v>
      </c>
      <c r="I56" s="9">
        <f t="shared" si="1"/>
        <v>0</v>
      </c>
    </row>
    <row r="57" spans="7:9" ht="17.100000000000001" customHeight="1" x14ac:dyDescent="0.25">
      <c r="G57" s="17">
        <f>'Payment Calculator'!E52</f>
        <v>50</v>
      </c>
      <c r="H57" s="17">
        <f>'Payment Calculator'!F52</f>
        <v>51</v>
      </c>
      <c r="I57" s="9">
        <f t="shared" si="1"/>
        <v>0</v>
      </c>
    </row>
    <row r="58" spans="7:9" ht="17.100000000000001" customHeight="1" x14ac:dyDescent="0.25">
      <c r="G58" s="17">
        <f>'Payment Calculator'!E53</f>
        <v>51</v>
      </c>
      <c r="H58" s="17">
        <f>'Payment Calculator'!F53</f>
        <v>52</v>
      </c>
      <c r="I58" s="9">
        <f t="shared" si="1"/>
        <v>0</v>
      </c>
    </row>
    <row r="59" spans="7:9" ht="17.100000000000001" customHeight="1" x14ac:dyDescent="0.25">
      <c r="G59" s="17">
        <f>'Payment Calculator'!E54</f>
        <v>52</v>
      </c>
      <c r="H59" s="17">
        <f>'Payment Calculator'!F54</f>
        <v>53</v>
      </c>
      <c r="I59" s="9">
        <f t="shared" si="1"/>
        <v>0</v>
      </c>
    </row>
    <row r="60" spans="7:9" ht="17.100000000000001" customHeight="1" x14ac:dyDescent="0.25">
      <c r="G60" s="17">
        <f>'Payment Calculator'!E55</f>
        <v>53</v>
      </c>
      <c r="H60" s="17">
        <f>'Payment Calculator'!F55</f>
        <v>54</v>
      </c>
      <c r="I60" s="9">
        <f t="shared" si="1"/>
        <v>0</v>
      </c>
    </row>
    <row r="61" spans="7:9" ht="17.100000000000001" customHeight="1" x14ac:dyDescent="0.25">
      <c r="G61" s="17">
        <f>'Payment Calculator'!E56</f>
        <v>54</v>
      </c>
      <c r="H61" s="17">
        <f>'Payment Calculator'!F56</f>
        <v>55</v>
      </c>
      <c r="I61" s="9">
        <f t="shared" si="1"/>
        <v>0</v>
      </c>
    </row>
    <row r="62" spans="7:9" ht="17.100000000000001" customHeight="1" x14ac:dyDescent="0.25">
      <c r="G62" s="17">
        <f>'Payment Calculator'!E57</f>
        <v>55</v>
      </c>
      <c r="H62" s="17">
        <f>'Payment Calculator'!F57</f>
        <v>56</v>
      </c>
      <c r="I62" s="9">
        <f t="shared" si="1"/>
        <v>0</v>
      </c>
    </row>
    <row r="63" spans="7:9" ht="17.100000000000001" customHeight="1" x14ac:dyDescent="0.25">
      <c r="G63" s="17">
        <f>'Payment Calculator'!E58</f>
        <v>56</v>
      </c>
      <c r="H63" s="17">
        <f>'Payment Calculator'!F58</f>
        <v>57</v>
      </c>
      <c r="I63" s="9">
        <f t="shared" si="1"/>
        <v>0</v>
      </c>
    </row>
    <row r="64" spans="7:9" ht="17.100000000000001" customHeight="1" x14ac:dyDescent="0.25">
      <c r="G64" s="17">
        <f>'Payment Calculator'!E59</f>
        <v>57</v>
      </c>
      <c r="H64" s="17">
        <f>'Payment Calculator'!F59</f>
        <v>58</v>
      </c>
      <c r="I64" s="9">
        <f t="shared" si="1"/>
        <v>0</v>
      </c>
    </row>
    <row r="65" spans="7:9" ht="17.100000000000001" customHeight="1" x14ac:dyDescent="0.25">
      <c r="G65" s="17">
        <f>'Payment Calculator'!E60</f>
        <v>58</v>
      </c>
      <c r="H65" s="17">
        <f>'Payment Calculator'!F60</f>
        <v>59</v>
      </c>
      <c r="I65" s="9">
        <f t="shared" si="1"/>
        <v>0</v>
      </c>
    </row>
    <row r="66" spans="7:9" ht="17.100000000000001" customHeight="1" x14ac:dyDescent="0.25">
      <c r="G66" s="17">
        <f>'Payment Calculator'!E61</f>
        <v>59</v>
      </c>
      <c r="H66" s="17">
        <f>'Payment Calculator'!F61</f>
        <v>60</v>
      </c>
      <c r="I66" s="9">
        <f t="shared" si="1"/>
        <v>0</v>
      </c>
    </row>
    <row r="67" spans="7:9" ht="17.100000000000001" customHeight="1" x14ac:dyDescent="0.25">
      <c r="G67" s="17">
        <f>'Payment Calculator'!E62</f>
        <v>60</v>
      </c>
      <c r="H67" s="17">
        <f>'Payment Calculator'!F62</f>
        <v>61</v>
      </c>
      <c r="I67" s="9">
        <f t="shared" si="1"/>
        <v>0</v>
      </c>
    </row>
    <row r="68" spans="7:9" ht="17.100000000000001" customHeight="1" x14ac:dyDescent="0.25">
      <c r="G68" s="17">
        <f>'Payment Calculator'!E63</f>
        <v>61</v>
      </c>
      <c r="H68" s="17">
        <f>'Payment Calculator'!F63</f>
        <v>62</v>
      </c>
      <c r="I68" s="9">
        <f t="shared" si="1"/>
        <v>0</v>
      </c>
    </row>
    <row r="69" spans="7:9" ht="17.100000000000001" customHeight="1" x14ac:dyDescent="0.25">
      <c r="G69" s="17">
        <f>'Payment Calculator'!E64</f>
        <v>62</v>
      </c>
      <c r="H69" s="17">
        <f>'Payment Calculator'!F64</f>
        <v>63</v>
      </c>
      <c r="I69" s="9">
        <f t="shared" si="1"/>
        <v>0</v>
      </c>
    </row>
    <row r="70" spans="7:9" ht="17.100000000000001" customHeight="1" x14ac:dyDescent="0.25">
      <c r="G70" s="17">
        <f>'Payment Calculator'!E65</f>
        <v>63</v>
      </c>
      <c r="H70" s="17">
        <f>'Payment Calculator'!F65</f>
        <v>64</v>
      </c>
      <c r="I70" s="9">
        <f t="shared" si="1"/>
        <v>0</v>
      </c>
    </row>
    <row r="71" spans="7:9" ht="17.100000000000001" customHeight="1" x14ac:dyDescent="0.25">
      <c r="G71" s="17">
        <f>'Payment Calculator'!E66</f>
        <v>64</v>
      </c>
      <c r="H71" s="17">
        <f>'Payment Calculator'!F66</f>
        <v>65</v>
      </c>
      <c r="I71" s="9">
        <f t="shared" ref="I71:I77" si="2">IF(H71="","", HLOOKUP($D$7, plan_vs_payment, H71+1))</f>
        <v>0</v>
      </c>
    </row>
    <row r="72" spans="7:9" ht="17.100000000000001" customHeight="1" x14ac:dyDescent="0.25">
      <c r="G72" s="17">
        <f>'Payment Calculator'!E67</f>
        <v>65</v>
      </c>
      <c r="H72" s="17">
        <f>'Payment Calculator'!F67</f>
        <v>66</v>
      </c>
      <c r="I72" s="9">
        <f t="shared" si="2"/>
        <v>0</v>
      </c>
    </row>
    <row r="73" spans="7:9" ht="17.100000000000001" customHeight="1" x14ac:dyDescent="0.25">
      <c r="G73" s="17">
        <f>'Payment Calculator'!E68</f>
        <v>66</v>
      </c>
      <c r="H73" s="17">
        <f>'Payment Calculator'!F68</f>
        <v>67</v>
      </c>
      <c r="I73" s="9">
        <f t="shared" si="2"/>
        <v>0</v>
      </c>
    </row>
    <row r="74" spans="7:9" ht="17.100000000000001" customHeight="1" x14ac:dyDescent="0.25">
      <c r="G74" s="17">
        <f>'Payment Calculator'!E69</f>
        <v>67</v>
      </c>
      <c r="H74" s="17">
        <f>'Payment Calculator'!F69</f>
        <v>68</v>
      </c>
      <c r="I74" s="9">
        <f t="shared" si="2"/>
        <v>0</v>
      </c>
    </row>
    <row r="75" spans="7:9" ht="17.100000000000001" customHeight="1" x14ac:dyDescent="0.25">
      <c r="G75" s="17">
        <f>'Payment Calculator'!E70</f>
        <v>68</v>
      </c>
      <c r="H75" s="17">
        <f>'Payment Calculator'!F70</f>
        <v>69</v>
      </c>
      <c r="I75" s="9">
        <f t="shared" si="2"/>
        <v>0</v>
      </c>
    </row>
    <row r="76" spans="7:9" ht="17.100000000000001" customHeight="1" x14ac:dyDescent="0.25">
      <c r="G76" s="17">
        <f>'Payment Calculator'!E71</f>
        <v>69</v>
      </c>
      <c r="H76" s="17">
        <f>'Payment Calculator'!F71</f>
        <v>70</v>
      </c>
      <c r="I76" s="9">
        <f t="shared" si="2"/>
        <v>0</v>
      </c>
    </row>
    <row r="77" spans="7:9" ht="17.100000000000001" customHeight="1" x14ac:dyDescent="0.25">
      <c r="G77" s="17">
        <f>'Payment Calculator'!E72</f>
        <v>70</v>
      </c>
      <c r="H77" s="17">
        <f>'Payment Calculator'!F72</f>
        <v>71</v>
      </c>
      <c r="I77" s="9">
        <f t="shared" si="2"/>
        <v>0</v>
      </c>
    </row>
  </sheetData>
  <mergeCells count="2">
    <mergeCell ref="F2:J2"/>
    <mergeCell ref="F3:I3"/>
  </mergeCells>
  <conditionalFormatting sqref="D11">
    <cfRule type="expression" dxfId="1" priority="2">
      <formula>OR(D7="Plan #6", D7="Plan #7")</formula>
    </cfRule>
  </conditionalFormatting>
  <conditionalFormatting sqref="D13">
    <cfRule type="expression" dxfId="0" priority="1">
      <formula>OR(D7="Plan #5", D7="Plan #6", D7="Plan #7")</formula>
    </cfRule>
  </conditionalFormatting>
  <dataValidations count="9">
    <dataValidation type="whole" allowBlank="1" showInputMessage="1" showErrorMessage="1" error="The company only offers annuities to individuals between 40 and 110 years old." sqref="C10:E10" xr:uid="{C2E8E2A3-B3E1-46E7-81E1-63024CA1B596}">
      <formula1>40</formula1>
      <formula2>110</formula2>
    </dataValidation>
    <dataValidation type="whole" allowBlank="1" showInputMessage="1" showErrorMessage="1" errorTitle="Invalid age" error="Please enter a valid age." sqref="C13 E13" xr:uid="{139C3E53-58E8-4439-8522-1D0075218BCD}">
      <formula1>C10</formula1>
      <formula2>110</formula2>
    </dataValidation>
    <dataValidation type="whole" allowBlank="1" showInputMessage="1" showErrorMessage="1" errorTitle="Invalid number" error="The company only offers payments up to age 110._x000a__x000a_You may have to decrease &quot;Age Payments Begin&quot;." sqref="D13" xr:uid="{00BDCD8A-96A3-4177-AC5D-70AEF90656CA}">
      <formula1>1</formula1>
      <formula2>111-D11</formula2>
    </dataValidation>
    <dataValidation type="whole" allowBlank="1" showInputMessage="1" showErrorMessage="1" errorTitle="Invalid number" error="The company only offers payments up to age 110." sqref="E16" xr:uid="{DF71B657-ACD6-405C-BB5A-E80F01F917FE}">
      <formula1>1</formula1>
      <formula2>111-E13</formula2>
    </dataValidation>
    <dataValidation type="whole" allowBlank="1" showInputMessage="1" showErrorMessage="1" errorTitle="Invalid number" error="The company only offers payments up to age 110." sqref="C16:D16" xr:uid="{C6AA75C1-E0EA-4538-9444-8D976AEAA269}">
      <formula1>1</formula1>
      <formula2>111-#REF!</formula2>
    </dataValidation>
    <dataValidation type="whole" allowBlank="1" showInputMessage="1" showErrorMessage="1" errorTitle="Invalid Age" error="The company only offers annuities to individuals between 40 and 110 years old._x000a__x000a_Also note that this number must not exceed &quot;Age Payments Begin&quot;." sqref="D9" xr:uid="{2D6B5799-6230-485C-889D-E58DD345CCDA}">
      <formula1>40</formula1>
      <formula2>MIN(D11, 110)</formula2>
    </dataValidation>
    <dataValidation type="whole" allowBlank="1" showInputMessage="1" showErrorMessage="1" errorTitle="Invalid age" error="Please enter a valid age." sqref="D13" xr:uid="{5DB56747-BDE9-42FE-BAC6-0243E409ABD3}">
      <formula1>1</formula1>
      <formula2>111-D11</formula2>
    </dataValidation>
    <dataValidation type="whole" allowBlank="1" showInputMessage="1" showErrorMessage="1" error="The company only offers annuities to individuals between 40 and 110 years old." sqref="D9" xr:uid="{4E4A974B-4E15-46F9-B239-1327A4B7E144}">
      <formula1>40</formula1>
      <formula2>MIN(D11, 110)</formula2>
    </dataValidation>
    <dataValidation type="whole" showInputMessage="1" showErrorMessage="1" error="The company only offers payments up to age 110._x000a__x000a_You may have to decrease &quot;Years of Payment&quot;." sqref="D11" xr:uid="{706C1891-3606-4ED2-8F12-7B43E10D71B3}">
      <formula1>D9</formula1>
      <formula2>MIN(111-D13, 110)</formula2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44984-FEA9-413C-AA2C-16FBD1B7D77D}">
          <x14:formula1>
            <xm:f>'Payment Calculator'!$G$1:$M$1</xm:f>
          </x14:formula1>
          <xm:sqref>C9 D7:E7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2F55-77F4-4707-8088-6A799463C964}">
  <sheetPr codeName="Sheet3"/>
  <dimension ref="B1:W22"/>
  <sheetViews>
    <sheetView showGridLines="0" workbookViewId="0">
      <selection activeCell="Y9" sqref="Y9"/>
    </sheetView>
  </sheetViews>
  <sheetFormatPr defaultRowHeight="15.75" x14ac:dyDescent="0.25"/>
  <cols>
    <col min="1" max="1" width="5.625" customWidth="1"/>
    <col min="3" max="3" width="10.625" customWidth="1"/>
    <col min="8" max="8" width="3.625" customWidth="1"/>
    <col min="9" max="9" width="10.875" customWidth="1"/>
    <col min="10" max="10" width="1.625" customWidth="1"/>
    <col min="11" max="11" width="10.875" customWidth="1"/>
    <col min="12" max="12" width="4" customWidth="1"/>
    <col min="13" max="13" width="8.625" customWidth="1"/>
    <col min="14" max="14" width="3.875" customWidth="1"/>
    <col min="15" max="15" width="8.625" customWidth="1"/>
    <col min="16" max="16" width="10.875" customWidth="1"/>
    <col min="18" max="18" width="7.75" customWidth="1"/>
    <col min="19" max="19" width="7" customWidth="1"/>
    <col min="20" max="20" width="6.375" customWidth="1"/>
    <col min="21" max="21" width="6.125" customWidth="1"/>
    <col min="22" max="22" width="6.375" customWidth="1"/>
    <col min="23" max="23" width="1.5" customWidth="1"/>
  </cols>
  <sheetData>
    <row r="1" spans="2:23" ht="28.5" customHeight="1" x14ac:dyDescent="0.25"/>
    <row r="2" spans="2:23" x14ac:dyDescent="0.25">
      <c r="B2" s="11" t="s">
        <v>0</v>
      </c>
      <c r="C2" s="39" t="s">
        <v>19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</row>
    <row r="3" spans="2:23" ht="22.5" customHeight="1" x14ac:dyDescent="0.25">
      <c r="B3" s="1" t="s">
        <v>9</v>
      </c>
      <c r="C3" s="29" t="s">
        <v>22</v>
      </c>
      <c r="D3" s="30"/>
      <c r="E3" s="30"/>
      <c r="F3" s="30"/>
      <c r="G3" s="30"/>
      <c r="H3" s="30"/>
      <c r="I3" s="44">
        <v>5000</v>
      </c>
      <c r="J3" s="44"/>
      <c r="K3" s="40" t="s">
        <v>30</v>
      </c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1"/>
    </row>
    <row r="4" spans="2:23" ht="22.5" customHeight="1" x14ac:dyDescent="0.25">
      <c r="B4" s="1" t="s">
        <v>10</v>
      </c>
      <c r="C4" s="42" t="s">
        <v>23</v>
      </c>
      <c r="D4" s="40"/>
      <c r="E4" s="40"/>
      <c r="F4" s="40"/>
      <c r="G4" s="40"/>
      <c r="H4" s="40"/>
      <c r="I4" s="44">
        <v>11000</v>
      </c>
      <c r="J4" s="44"/>
      <c r="K4" s="40" t="s">
        <v>31</v>
      </c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1"/>
    </row>
    <row r="5" spans="2:23" ht="22.5" customHeight="1" x14ac:dyDescent="0.25">
      <c r="B5" s="1" t="s">
        <v>11</v>
      </c>
      <c r="C5" s="42" t="s">
        <v>25</v>
      </c>
      <c r="D5" s="40"/>
      <c r="E5" s="40"/>
      <c r="F5" s="40"/>
      <c r="G5" s="40"/>
      <c r="H5" s="40"/>
      <c r="I5" s="40"/>
      <c r="J5" s="40"/>
      <c r="K5" s="40"/>
      <c r="L5" s="40"/>
      <c r="M5" s="44">
        <v>4600</v>
      </c>
      <c r="N5" s="44"/>
      <c r="O5" s="40" t="s">
        <v>34</v>
      </c>
      <c r="P5" s="40"/>
      <c r="Q5" s="40"/>
      <c r="R5" s="40"/>
      <c r="S5" s="40"/>
      <c r="T5" s="44">
        <v>5700</v>
      </c>
      <c r="U5" s="44"/>
      <c r="V5" s="35" t="s">
        <v>32</v>
      </c>
      <c r="W5" s="32"/>
    </row>
    <row r="6" spans="2:23" ht="22.5" customHeight="1" x14ac:dyDescent="0.25">
      <c r="B6" s="1" t="s">
        <v>12</v>
      </c>
      <c r="C6" s="42" t="s">
        <v>24</v>
      </c>
      <c r="D6" s="40"/>
      <c r="E6" s="40"/>
      <c r="F6" s="40"/>
      <c r="G6" s="40"/>
      <c r="H6" s="40"/>
      <c r="I6" s="40"/>
      <c r="J6" s="43"/>
      <c r="K6" s="43"/>
      <c r="L6" s="40"/>
      <c r="M6" s="44">
        <v>100000</v>
      </c>
      <c r="N6" s="44"/>
      <c r="O6" s="40" t="s">
        <v>33</v>
      </c>
      <c r="P6" s="40"/>
      <c r="Q6" s="40"/>
      <c r="R6" s="40"/>
      <c r="S6" s="40"/>
      <c r="T6" s="40"/>
      <c r="U6" s="40"/>
      <c r="V6" s="40"/>
      <c r="W6" s="41"/>
    </row>
    <row r="7" spans="2:23" ht="22.5" customHeight="1" x14ac:dyDescent="0.25">
      <c r="B7" s="1" t="s">
        <v>13</v>
      </c>
      <c r="C7" s="45" t="s">
        <v>26</v>
      </c>
      <c r="D7" s="46"/>
      <c r="E7" s="46"/>
      <c r="F7" s="46"/>
      <c r="G7" s="46"/>
      <c r="H7" s="46"/>
      <c r="I7" s="46"/>
      <c r="J7" s="44">
        <v>7200</v>
      </c>
      <c r="K7" s="44"/>
      <c r="L7" s="40" t="s">
        <v>30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1"/>
    </row>
    <row r="8" spans="2:23" ht="22.5" customHeight="1" x14ac:dyDescent="0.25">
      <c r="B8" s="1" t="s">
        <v>14</v>
      </c>
      <c r="C8" s="45" t="s">
        <v>27</v>
      </c>
      <c r="D8" s="46"/>
      <c r="E8" s="46"/>
      <c r="F8" s="46"/>
      <c r="G8" s="46"/>
      <c r="H8" s="46"/>
      <c r="I8" s="44">
        <v>25000</v>
      </c>
      <c r="J8" s="44"/>
      <c r="K8" s="48" t="s">
        <v>28</v>
      </c>
      <c r="L8" s="48"/>
      <c r="M8" s="48"/>
      <c r="N8" s="44">
        <v>1000</v>
      </c>
      <c r="O8" s="44"/>
      <c r="P8" s="40" t="s">
        <v>37</v>
      </c>
      <c r="Q8" s="40"/>
      <c r="R8" s="40"/>
      <c r="S8" s="40"/>
      <c r="T8" s="40"/>
      <c r="U8" s="40"/>
      <c r="V8" s="40"/>
      <c r="W8" s="41"/>
    </row>
    <row r="9" spans="2:23" ht="22.5" customHeight="1" x14ac:dyDescent="0.25">
      <c r="B9" s="1" t="s">
        <v>15</v>
      </c>
      <c r="C9" s="45" t="s">
        <v>29</v>
      </c>
      <c r="D9" s="46"/>
      <c r="E9" s="46"/>
      <c r="F9" s="46"/>
      <c r="G9" s="46"/>
      <c r="H9" s="46"/>
      <c r="I9" s="46"/>
      <c r="J9" s="44">
        <v>1000</v>
      </c>
      <c r="K9" s="44"/>
      <c r="L9" s="40" t="s">
        <v>35</v>
      </c>
      <c r="M9" s="40"/>
      <c r="N9" s="40"/>
      <c r="O9" s="40"/>
      <c r="P9" s="40"/>
      <c r="Q9" s="40"/>
      <c r="R9" s="40"/>
      <c r="S9" s="40"/>
      <c r="T9" s="40"/>
      <c r="U9" s="47">
        <f>J9*64</f>
        <v>64000</v>
      </c>
      <c r="V9" s="47"/>
      <c r="W9" s="33" t="s">
        <v>36</v>
      </c>
    </row>
    <row r="11" spans="2:23" x14ac:dyDescent="0.25">
      <c r="C11" s="28"/>
    </row>
    <row r="21" ht="7.5" customHeight="1" x14ac:dyDescent="0.25"/>
    <row r="22" hidden="1" x14ac:dyDescent="0.25"/>
  </sheetData>
  <mergeCells count="25">
    <mergeCell ref="C7:I7"/>
    <mergeCell ref="C9:I9"/>
    <mergeCell ref="L9:T9"/>
    <mergeCell ref="M5:N5"/>
    <mergeCell ref="M6:N6"/>
    <mergeCell ref="N8:O8"/>
    <mergeCell ref="P8:W8"/>
    <mergeCell ref="T5:U5"/>
    <mergeCell ref="U9:V9"/>
    <mergeCell ref="I8:J8"/>
    <mergeCell ref="J7:K7"/>
    <mergeCell ref="J9:K9"/>
    <mergeCell ref="L7:W7"/>
    <mergeCell ref="C8:H8"/>
    <mergeCell ref="K8:M8"/>
    <mergeCell ref="C2:W2"/>
    <mergeCell ref="K4:W4"/>
    <mergeCell ref="K3:W3"/>
    <mergeCell ref="C6:L6"/>
    <mergeCell ref="O6:W6"/>
    <mergeCell ref="I3:J3"/>
    <mergeCell ref="I4:J4"/>
    <mergeCell ref="C4:H4"/>
    <mergeCell ref="C5:L5"/>
    <mergeCell ref="O5:S5"/>
  </mergeCells>
  <phoneticPr fontId="4" type="noConversion"/>
  <dataValidations count="1">
    <dataValidation type="decimal" operator="greaterThanOrEqual" allowBlank="1" showInputMessage="1" showErrorMessage="1" error="Negative value!" sqref="J9:K9 I8:J8 J7:K7 N8:O8 M6:N6 M5:N5 T5:U5 I4:J4 I3:J3" xr:uid="{D55D03ED-F87C-48F1-91F8-EA05264A51B0}">
      <formula1>0</formula1>
    </dataValidation>
  </dataValidations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DDFF5-06BA-4799-9056-03467F29CAE1}">
  <sheetPr codeName="Sheet2"/>
  <dimension ref="B1:Q129"/>
  <sheetViews>
    <sheetView zoomScaleNormal="100" workbookViewId="0">
      <pane ySplit="1" topLeftCell="A2" activePane="bottomLeft" state="frozen"/>
      <selection pane="bottomLeft" activeCell="G2" sqref="G2"/>
    </sheetView>
  </sheetViews>
  <sheetFormatPr defaultRowHeight="15.75" x14ac:dyDescent="0.25"/>
  <cols>
    <col min="1" max="1" width="4.125" customWidth="1"/>
    <col min="2" max="2" width="17.75" bestFit="1" customWidth="1"/>
    <col min="5" max="6" width="7.125" customWidth="1"/>
    <col min="7" max="11" width="15.5" customWidth="1"/>
    <col min="12" max="13" width="15.5" style="4" customWidth="1"/>
  </cols>
  <sheetData>
    <row r="1" spans="2:17" x14ac:dyDescent="0.25">
      <c r="E1" s="7" t="s">
        <v>4</v>
      </c>
      <c r="F1" s="7" t="s">
        <v>5</v>
      </c>
      <c r="G1" s="34" t="s">
        <v>9</v>
      </c>
      <c r="H1" s="34" t="s">
        <v>10</v>
      </c>
      <c r="I1" s="7" t="s">
        <v>11</v>
      </c>
      <c r="J1" s="7" t="s">
        <v>12</v>
      </c>
      <c r="K1" s="7" t="s">
        <v>13</v>
      </c>
      <c r="L1" s="8" t="s">
        <v>14</v>
      </c>
      <c r="M1" s="34" t="s">
        <v>15</v>
      </c>
    </row>
    <row r="2" spans="2:17" x14ac:dyDescent="0.25">
      <c r="B2" s="3" t="s">
        <v>16</v>
      </c>
      <c r="E2" s="31">
        <f>C3</f>
        <v>0</v>
      </c>
      <c r="F2" s="31">
        <v>1</v>
      </c>
      <c r="G2" s="50">
        <f>IF(E2="","",IF(AND(E2&gt;=$C$4,E2&lt;($C$4+$C$5)), ROUND('Edit Plans'!$I$3,2),0))</f>
        <v>0</v>
      </c>
      <c r="H2" s="50">
        <f>IF(E2 = "", "", IF(AND(E2 &gt;= $C$4, E2 &lt; ($C$4+$C$5)), IF(MOD(E2-$C$4, 2) = 0, ROUND('Edit Plans'!$I$4,2), 0), 0))</f>
        <v>0</v>
      </c>
      <c r="I2" s="50">
        <f>IF(E2 = "", "", IF(AND(E2 &gt;= $C$4, E2 &lt; ($C$4+$C$5)), IF(E2 &lt; ($C$4 + ($C$5/2)), ROUND('Edit Plans'!$M$5,2), ROUND('Edit Plans'!$T$5,2)), 0))</f>
        <v>0</v>
      </c>
      <c r="J2" s="50">
        <f>IF(E2 = "", "", IF(AND(E2 &gt;= $C$4, E2 &lt; ($C$4+$C$5)), ROUND('Edit Plans'!$M$6/$C$5,2), 0))</f>
        <v>0</v>
      </c>
      <c r="K2" s="50">
        <f>IF(E2="","", IF(AND($C$4 &lt;&gt; 0, E2 &gt;= $C$4), ROUND('Edit Plans'!$J$7,2), 0))</f>
        <v>0</v>
      </c>
      <c r="L2" s="50">
        <f>IF(E2="","",IF(AND(E2&gt;=65,E2&lt;=94),ROUND('Edit Plans'!$I$8+(E2-65)*'Edit Plans'!$N$8,2),0))</f>
        <v>0</v>
      </c>
      <c r="M2" s="50">
        <f>IF(E2="","", IF(AND(E2 &gt;= 60, E2 &lt;= 100), ROUND(E2*'Edit Plans'!$J$9,2), 0))</f>
        <v>0</v>
      </c>
    </row>
    <row r="3" spans="2:17" x14ac:dyDescent="0.25">
      <c r="B3" s="1" t="s">
        <v>18</v>
      </c>
      <c r="C3" s="1">
        <f>'Illustration Tool'!D9</f>
        <v>0</v>
      </c>
      <c r="E3" s="5">
        <f t="shared" ref="E3:E34" si="0">IF(F3="","",E2+1)</f>
        <v>1</v>
      </c>
      <c r="F3" s="5">
        <f t="shared" ref="F3:F34" si="1">IF(F2="","",IF($C$3+F2&lt;=110,F2+1,""))</f>
        <v>2</v>
      </c>
      <c r="G3" s="50">
        <f>IF(E3="","",IF(AND(E3&gt;=$C$4,E3&lt;($C$4+$C$5)), ROUND('Edit Plans'!$I$3,2),0))</f>
        <v>0</v>
      </c>
      <c r="H3" s="50">
        <f>IF(E3 = "", "", IF(AND(E3 &gt;= $C$4, E3 &lt; ($C$4+$C$5)), IF(MOD(E3-$C$4, 2) = 0, ROUND('Edit Plans'!$I$4,2), 0), 0))</f>
        <v>0</v>
      </c>
      <c r="I3" s="50">
        <f>IF(E3 = "", "", IF(AND(E3 &gt;= $C$4, E3 &lt; ($C$4+$C$5)), IF(E3 &lt; ($C$4 + ($C$5/2)), ROUND('Edit Plans'!$M$5,2), ROUND('Edit Plans'!$T$5,2)), 0))</f>
        <v>0</v>
      </c>
      <c r="J3" s="49">
        <f>IF(E3 = "", "", IF(AND(E3 &gt;= $C$4, E3 &lt; ($C$4+$C$5)), ROUND('Edit Plans'!$M$6/$C$5,2), 0))</f>
        <v>0</v>
      </c>
      <c r="K3" s="50">
        <f>IF(E3="","", IF(AND($C$4 &lt;&gt; 0, E3 &gt;= $C$4), ROUND('Edit Plans'!$J$7,2), 0))</f>
        <v>0</v>
      </c>
      <c r="L3" s="50">
        <f>IF(E3="","",IF(AND(E3&gt;=65,E3&lt;=94),ROUND('Edit Plans'!$I$8+(E3-65)*'Edit Plans'!$N$8,2),0))</f>
        <v>0</v>
      </c>
      <c r="M3" s="50">
        <f>IF(E3="","", IF(AND(E3 &gt;= 60, E3 &lt;= 100), ROUND(E3*'Edit Plans'!$J$9,2), 0))</f>
        <v>0</v>
      </c>
    </row>
    <row r="4" spans="2:17" x14ac:dyDescent="0.25">
      <c r="B4" s="1" t="s">
        <v>17</v>
      </c>
      <c r="C4" s="1">
        <f>'Illustration Tool'!D11</f>
        <v>0</v>
      </c>
      <c r="E4" s="5">
        <f t="shared" si="0"/>
        <v>2</v>
      </c>
      <c r="F4" s="5">
        <f t="shared" si="1"/>
        <v>3</v>
      </c>
      <c r="G4" s="50">
        <f>IF(E4="","",IF(AND(E4&gt;=$C$4,E4&lt;($C$4+$C$5)), ROUND('Edit Plans'!$I$3,2),0))</f>
        <v>0</v>
      </c>
      <c r="H4" s="50">
        <f>IF(E4 = "", "", IF(AND(E4 &gt;= $C$4, E4 &lt; ($C$4+$C$5)), IF(MOD(E4-$C$4, 2) = 0, ROUND('Edit Plans'!$I$4,2), 0), 0))</f>
        <v>0</v>
      </c>
      <c r="I4" s="50">
        <f>IF(E4 = "", "", IF(AND(E4 &gt;= $C$4, E4 &lt; ($C$4+$C$5)), IF(E4 &lt; ($C$4 + ($C$5/2)), ROUND('Edit Plans'!$M$5,2), ROUND('Edit Plans'!$T$5,2)), 0))</f>
        <v>0</v>
      </c>
      <c r="J4" s="49">
        <f>IF(E4 = "", "", IF(AND(E4 &gt;= $C$4, E4 &lt; ($C$4+$C$5)), ROUND('Edit Plans'!$M$6/$C$5,2), 0))</f>
        <v>0</v>
      </c>
      <c r="K4" s="50">
        <f>IF(E4="","", IF(AND($C$4 &lt;&gt; 0, E4 &gt;= $C$4), ROUND('Edit Plans'!$J$7,2), 0))</f>
        <v>0</v>
      </c>
      <c r="L4" s="50">
        <f>IF(E4="","",IF(AND(E4&gt;=65,E4&lt;=94),ROUND('Edit Plans'!$I$8+(E4-65)*'Edit Plans'!$N$8,2),0))</f>
        <v>0</v>
      </c>
      <c r="M4" s="50">
        <f>IF(E4="","", IF(AND(E4 &gt;= 60, E4 &lt;= 100), ROUND(E4*'Edit Plans'!$J$9,2), 0))</f>
        <v>0</v>
      </c>
    </row>
    <row r="5" spans="2:17" x14ac:dyDescent="0.25">
      <c r="B5" s="1" t="s">
        <v>3</v>
      </c>
      <c r="C5" s="1">
        <f>'Illustration Tool'!D13</f>
        <v>0</v>
      </c>
      <c r="E5" s="5">
        <f t="shared" si="0"/>
        <v>3</v>
      </c>
      <c r="F5" s="5">
        <f t="shared" si="1"/>
        <v>4</v>
      </c>
      <c r="G5" s="50">
        <f>IF(E5="","",IF(AND(E5&gt;=$C$4,E5&lt;($C$4+$C$5)), ROUND('Edit Plans'!$I$3,2),0))</f>
        <v>0</v>
      </c>
      <c r="H5" s="50">
        <f>IF(E5 = "", "", IF(AND(E5 &gt;= $C$4, E5 &lt; ($C$4+$C$5)), IF(MOD(E5-$C$4, 2) = 0, ROUND('Edit Plans'!$I$4,2), 0), 0))</f>
        <v>0</v>
      </c>
      <c r="I5" s="50">
        <f>IF(E5 = "", "", IF(AND(E5 &gt;= $C$4, E5 &lt; ($C$4+$C$5)), IF(E5 &lt; ($C$4 + ($C$5/2)), ROUND('Edit Plans'!$M$5,2), ROUND('Edit Plans'!$T$5,2)), 0))</f>
        <v>0</v>
      </c>
      <c r="J5" s="49">
        <f>IF(E5 = "", "", IF(AND(E5 &gt;= $C$4, E5 &lt; ($C$4+$C$5)), ROUND('Edit Plans'!$M$6/$C$5,2), 0))</f>
        <v>0</v>
      </c>
      <c r="K5" s="50">
        <f>IF(E5="","", IF(AND($C$4 &lt;&gt; 0, E5 &gt;= $C$4), ROUND('Edit Plans'!$J$7,2), 0))</f>
        <v>0</v>
      </c>
      <c r="L5" s="50">
        <f>IF(E5="","",IF(AND(E5&gt;=65,E5&lt;=94),ROUND('Edit Plans'!$I$8+(E5-65)*'Edit Plans'!$N$8,2),0))</f>
        <v>0</v>
      </c>
      <c r="M5" s="50">
        <f>IF(E5="","", IF(AND(E5 &gt;= 60, E5 &lt;= 100), ROUND(E5*'Edit Plans'!$J$9,2), 0))</f>
        <v>0</v>
      </c>
      <c r="Q5" s="4"/>
    </row>
    <row r="6" spans="2:17" x14ac:dyDescent="0.25">
      <c r="E6" s="5">
        <f t="shared" si="0"/>
        <v>4</v>
      </c>
      <c r="F6" s="5">
        <f t="shared" si="1"/>
        <v>5</v>
      </c>
      <c r="G6" s="50">
        <f>IF(E6="","",IF(AND(E6&gt;=$C$4,E6&lt;($C$4+$C$5)), ROUND('Edit Plans'!$I$3,2),0))</f>
        <v>0</v>
      </c>
      <c r="H6" s="50">
        <f>IF(E6 = "", "", IF(AND(E6 &gt;= $C$4, E6 &lt; ($C$4+$C$5)), IF(MOD(E6-$C$4, 2) = 0, ROUND('Edit Plans'!$I$4,2), 0), 0))</f>
        <v>0</v>
      </c>
      <c r="I6" s="50">
        <f>IF(E6 = "", "", IF(AND(E6 &gt;= $C$4, E6 &lt; ($C$4+$C$5)), IF(E6 &lt; ($C$4 + ($C$5/2)), ROUND('Edit Plans'!$M$5,2), ROUND('Edit Plans'!$T$5,2)), 0))</f>
        <v>0</v>
      </c>
      <c r="J6" s="49">
        <f>IF(E6 = "", "", IF(AND(E6 &gt;= $C$4, E6 &lt; ($C$4+$C$5)), ROUND('Edit Plans'!$M$6/$C$5,2), 0))</f>
        <v>0</v>
      </c>
      <c r="K6" s="50">
        <f>IF(E6="","", IF(AND($C$4 &lt;&gt; 0, E6 &gt;= $C$4), ROUND('Edit Plans'!$J$7,2), 0))</f>
        <v>0</v>
      </c>
      <c r="L6" s="50">
        <f>IF(E6="","",IF(AND(E6&gt;=65,E6&lt;=94),ROUND('Edit Plans'!$I$8+(E6-65)*'Edit Plans'!$N$8,2),0))</f>
        <v>0</v>
      </c>
      <c r="M6" s="50">
        <f>IF(E6="","", IF(AND(E6 &gt;= 60, E6 &lt;= 100), ROUND(E6*'Edit Plans'!$J$9,2), 0))</f>
        <v>0</v>
      </c>
    </row>
    <row r="7" spans="2:17" x14ac:dyDescent="0.25">
      <c r="E7" s="5">
        <f t="shared" si="0"/>
        <v>5</v>
      </c>
      <c r="F7" s="5">
        <f t="shared" si="1"/>
        <v>6</v>
      </c>
      <c r="G7" s="50">
        <f>IF(E7="","",IF(AND(E7&gt;=$C$4,E7&lt;($C$4+$C$5)), ROUND('Edit Plans'!$I$3,2),0))</f>
        <v>0</v>
      </c>
      <c r="H7" s="50">
        <f>IF(E7 = "", "", IF(AND(E7 &gt;= $C$4, E7 &lt; ($C$4+$C$5)), IF(MOD(E7-$C$4, 2) = 0, ROUND('Edit Plans'!$I$4,2), 0), 0))</f>
        <v>0</v>
      </c>
      <c r="I7" s="50">
        <f>IF(E7 = "", "", IF(AND(E7 &gt;= $C$4, E7 &lt; ($C$4+$C$5)), IF(E7 &lt; ($C$4 + ($C$5/2)), ROUND('Edit Plans'!$M$5,2), ROUND('Edit Plans'!$T$5,2)), 0))</f>
        <v>0</v>
      </c>
      <c r="J7" s="49">
        <f>IF(E7 = "", "", IF(AND(E7 &gt;= $C$4, E7 &lt; ($C$4+$C$5)), ROUND('Edit Plans'!$M$6/$C$5,2), 0))</f>
        <v>0</v>
      </c>
      <c r="K7" s="50">
        <f>IF(E7="","", IF(AND($C$4 &lt;&gt; 0, E7 &gt;= $C$4), ROUND('Edit Plans'!$J$7,2), 0))</f>
        <v>0</v>
      </c>
      <c r="L7" s="50">
        <f>IF(E7="","",IF(AND(E7&gt;=65,E7&lt;=94),ROUND('Edit Plans'!$I$8+(E7-65)*'Edit Plans'!$N$8,2),0))</f>
        <v>0</v>
      </c>
      <c r="M7" s="50">
        <f>IF(E7="","", IF(AND(E7 &gt;= 60, E7 &lt;= 100), ROUND(E7*'Edit Plans'!$J$9,2), 0))</f>
        <v>0</v>
      </c>
    </row>
    <row r="8" spans="2:17" x14ac:dyDescent="0.25">
      <c r="B8" s="4"/>
      <c r="E8" s="5">
        <f t="shared" si="0"/>
        <v>6</v>
      </c>
      <c r="F8" s="5">
        <f t="shared" si="1"/>
        <v>7</v>
      </c>
      <c r="G8" s="50">
        <f>IF(E8="","",IF(AND(E8&gt;=$C$4,E8&lt;($C$4+$C$5)), ROUND('Edit Plans'!$I$3,2),0))</f>
        <v>0</v>
      </c>
      <c r="H8" s="50">
        <f>IF(E8 = "", "", IF(AND(E8 &gt;= $C$4, E8 &lt; ($C$4+$C$5)), IF(MOD(E8-$C$4, 2) = 0, ROUND('Edit Plans'!$I$4,2), 0), 0))</f>
        <v>0</v>
      </c>
      <c r="I8" s="50">
        <f>IF(E8 = "", "", IF(AND(E8 &gt;= $C$4, E8 &lt; ($C$4+$C$5)), IF(E8 &lt; ($C$4 + ($C$5/2)), ROUND('Edit Plans'!$M$5,2), ROUND('Edit Plans'!$T$5,2)), 0))</f>
        <v>0</v>
      </c>
      <c r="J8" s="49">
        <f>IF(E8 = "", "", IF(AND(E8 &gt;= $C$4, E8 &lt; ($C$4+$C$5)), ROUND('Edit Plans'!$M$6/$C$5,2), 0))</f>
        <v>0</v>
      </c>
      <c r="K8" s="50">
        <f>IF(E8="","", IF(AND($C$4 &lt;&gt; 0, E8 &gt;= $C$4), ROUND('Edit Plans'!$J$7,2), 0))</f>
        <v>0</v>
      </c>
      <c r="L8" s="50">
        <f>IF(E8="","",IF(AND(E8&gt;=65,E8&lt;=94),ROUND('Edit Plans'!$I$8+(E8-65)*'Edit Plans'!$N$8,2),0))</f>
        <v>0</v>
      </c>
      <c r="M8" s="50">
        <f>IF(E8="","", IF(AND(E8 &gt;= 60, E8 &lt;= 100), ROUND(E8*'Edit Plans'!$J$9,2), 0))</f>
        <v>0</v>
      </c>
    </row>
    <row r="9" spans="2:17" x14ac:dyDescent="0.25">
      <c r="E9" s="5">
        <f t="shared" si="0"/>
        <v>7</v>
      </c>
      <c r="F9" s="5">
        <f t="shared" si="1"/>
        <v>8</v>
      </c>
      <c r="G9" s="50">
        <f>IF(E9="","",IF(AND(E9&gt;=$C$4,E9&lt;($C$4+$C$5)), ROUND('Edit Plans'!$I$3,2),0))</f>
        <v>0</v>
      </c>
      <c r="H9" s="50">
        <f>IF(E9 = "", "", IF(AND(E9 &gt;= $C$4, E9 &lt; ($C$4+$C$5)), IF(MOD(E9-$C$4, 2) = 0, ROUND('Edit Plans'!$I$4,2), 0), 0))</f>
        <v>0</v>
      </c>
      <c r="I9" s="50">
        <f>IF(E9 = "", "", IF(AND(E9 &gt;= $C$4, E9 &lt; ($C$4+$C$5)), IF(E9 &lt; ($C$4 + ($C$5/2)), ROUND('Edit Plans'!$M$5,2), ROUND('Edit Plans'!$T$5,2)), 0))</f>
        <v>0</v>
      </c>
      <c r="J9" s="49">
        <f>IF(E9 = "", "", IF(AND(E9 &gt;= $C$4, E9 &lt; ($C$4+$C$5)), ROUND('Edit Plans'!$M$6/$C$5,2), 0))</f>
        <v>0</v>
      </c>
      <c r="K9" s="50">
        <f>IF(E9="","", IF(AND($C$4 &lt;&gt; 0, E9 &gt;= $C$4), ROUND('Edit Plans'!$J$7,2), 0))</f>
        <v>0</v>
      </c>
      <c r="L9" s="50">
        <f>IF(E9="","",IF(AND(E9&gt;=65,E9&lt;=94),ROUND('Edit Plans'!$I$8+(E9-65)*'Edit Plans'!$N$8,2),0))</f>
        <v>0</v>
      </c>
      <c r="M9" s="50">
        <f>IF(E9="","", IF(AND(E9 &gt;= 60, E9 &lt;= 100), ROUND(E9*'Edit Plans'!$J$9,2), 0))</f>
        <v>0</v>
      </c>
    </row>
    <row r="10" spans="2:17" x14ac:dyDescent="0.25">
      <c r="E10" s="5">
        <f t="shared" si="0"/>
        <v>8</v>
      </c>
      <c r="F10" s="5">
        <f t="shared" si="1"/>
        <v>9</v>
      </c>
      <c r="G10" s="50">
        <f>IF(E10="","",IF(AND(E10&gt;=$C$4,E10&lt;($C$4+$C$5)), ROUND('Edit Plans'!$I$3,2),0))</f>
        <v>0</v>
      </c>
      <c r="H10" s="50">
        <f>IF(E10 = "", "", IF(AND(E10 &gt;= $C$4, E10 &lt; ($C$4+$C$5)), IF(MOD(E10-$C$4, 2) = 0, ROUND('Edit Plans'!$I$4,2), 0), 0))</f>
        <v>0</v>
      </c>
      <c r="I10" s="50">
        <f>IF(E10 = "", "", IF(AND(E10 &gt;= $C$4, E10 &lt; ($C$4+$C$5)), IF(E10 &lt; ($C$4 + ($C$5/2)), ROUND('Edit Plans'!$M$5,2), ROUND('Edit Plans'!$T$5,2)), 0))</f>
        <v>0</v>
      </c>
      <c r="J10" s="49">
        <f>IF(E10 = "", "", IF(AND(E10 &gt;= $C$4, E10 &lt; ($C$4+$C$5)), ROUND('Edit Plans'!$M$6/$C$5,2), 0))</f>
        <v>0</v>
      </c>
      <c r="K10" s="50">
        <f>IF(E10="","", IF(AND($C$4 &lt;&gt; 0, E10 &gt;= $C$4), ROUND('Edit Plans'!$J$7,2), 0))</f>
        <v>0</v>
      </c>
      <c r="L10" s="50">
        <f>IF(E10="","",IF(AND(E10&gt;=65,E10&lt;=94),ROUND('Edit Plans'!$I$8+(E10-65)*'Edit Plans'!$N$8,2),0))</f>
        <v>0</v>
      </c>
      <c r="M10" s="50">
        <f>IF(E10="","", IF(AND(E10 &gt;= 60, E10 &lt;= 100), ROUND(E10*'Edit Plans'!$J$9,2), 0))</f>
        <v>0</v>
      </c>
    </row>
    <row r="11" spans="2:17" x14ac:dyDescent="0.25">
      <c r="E11" s="5">
        <f t="shared" si="0"/>
        <v>9</v>
      </c>
      <c r="F11" s="5">
        <f t="shared" si="1"/>
        <v>10</v>
      </c>
      <c r="G11" s="50">
        <f>IF(E11="","",IF(AND(E11&gt;=$C$4,E11&lt;($C$4+$C$5)), ROUND('Edit Plans'!$I$3,2),0))</f>
        <v>0</v>
      </c>
      <c r="H11" s="50">
        <f>IF(E11 = "", "", IF(AND(E11 &gt;= $C$4, E11 &lt; ($C$4+$C$5)), IF(MOD(E11-$C$4, 2) = 0, ROUND('Edit Plans'!$I$4,2), 0), 0))</f>
        <v>0</v>
      </c>
      <c r="I11" s="50">
        <f>IF(E11 = "", "", IF(AND(E11 &gt;= $C$4, E11 &lt; ($C$4+$C$5)), IF(E11 &lt; ($C$4 + ($C$5/2)), ROUND('Edit Plans'!$M$5,2), ROUND('Edit Plans'!$T$5,2)), 0))</f>
        <v>0</v>
      </c>
      <c r="J11" s="49">
        <f>IF(E11 = "", "", IF(AND(E11 &gt;= $C$4, E11 &lt; ($C$4+$C$5)), ROUND('Edit Plans'!$M$6/$C$5,2), 0))</f>
        <v>0</v>
      </c>
      <c r="K11" s="50">
        <f>IF(E11="","", IF(AND($C$4 &lt;&gt; 0, E11 &gt;= $C$4), ROUND('Edit Plans'!$J$7,2), 0))</f>
        <v>0</v>
      </c>
      <c r="L11" s="50">
        <f>IF(E11="","",IF(AND(E11&gt;=65,E11&lt;=94),ROUND('Edit Plans'!$I$8+(E11-65)*'Edit Plans'!$N$8,2),0))</f>
        <v>0</v>
      </c>
      <c r="M11" s="50">
        <f>IF(E11="","", IF(AND(E11 &gt;= 60, E11 &lt;= 100), ROUND(E11*'Edit Plans'!$J$9,2), 0))</f>
        <v>0</v>
      </c>
    </row>
    <row r="12" spans="2:17" x14ac:dyDescent="0.25">
      <c r="E12" s="5">
        <f t="shared" si="0"/>
        <v>10</v>
      </c>
      <c r="F12" s="5">
        <f t="shared" si="1"/>
        <v>11</v>
      </c>
      <c r="G12" s="50">
        <f>IF(E12="","",IF(AND(E12&gt;=$C$4,E12&lt;($C$4+$C$5)), ROUND('Edit Plans'!$I$3,2),0))</f>
        <v>0</v>
      </c>
      <c r="H12" s="50">
        <f>IF(E12 = "", "", IF(AND(E12 &gt;= $C$4, E12 &lt; ($C$4+$C$5)), IF(MOD(E12-$C$4, 2) = 0, ROUND('Edit Plans'!$I$4,2), 0), 0))</f>
        <v>0</v>
      </c>
      <c r="I12" s="50">
        <f>IF(E12 = "", "", IF(AND(E12 &gt;= $C$4, E12 &lt; ($C$4+$C$5)), IF(E12 &lt; ($C$4 + ($C$5/2)), ROUND('Edit Plans'!$M$5,2), ROUND('Edit Plans'!$T$5,2)), 0))</f>
        <v>0</v>
      </c>
      <c r="J12" s="49">
        <f>IF(E12 = "", "", IF(AND(E12 &gt;= $C$4, E12 &lt; ($C$4+$C$5)), ROUND('Edit Plans'!$M$6/$C$5,2), 0))</f>
        <v>0</v>
      </c>
      <c r="K12" s="50">
        <f>IF(E12="","", IF(AND($C$4 &lt;&gt; 0, E12 &gt;= $C$4), ROUND('Edit Plans'!$J$7,2), 0))</f>
        <v>0</v>
      </c>
      <c r="L12" s="50">
        <f>IF(E12="","",IF(AND(E12&gt;=65,E12&lt;=94),ROUND('Edit Plans'!$I$8+(E12-65)*'Edit Plans'!$N$8,2),0))</f>
        <v>0</v>
      </c>
      <c r="M12" s="50">
        <f>IF(E12="","", IF(AND(E12 &gt;= 60, E12 &lt;= 100), ROUND(E12*'Edit Plans'!$J$9,2), 0))</f>
        <v>0</v>
      </c>
    </row>
    <row r="13" spans="2:17" x14ac:dyDescent="0.25">
      <c r="E13" s="5">
        <f t="shared" si="0"/>
        <v>11</v>
      </c>
      <c r="F13" s="5">
        <f t="shared" si="1"/>
        <v>12</v>
      </c>
      <c r="G13" s="50">
        <f>IF(E13="","",IF(AND(E13&gt;=$C$4,E13&lt;($C$4+$C$5)), ROUND('Edit Plans'!$I$3,2),0))</f>
        <v>0</v>
      </c>
      <c r="H13" s="50">
        <f>IF(E13 = "", "", IF(AND(E13 &gt;= $C$4, E13 &lt; ($C$4+$C$5)), IF(MOD(E13-$C$4, 2) = 0, ROUND('Edit Plans'!$I$4,2), 0), 0))</f>
        <v>0</v>
      </c>
      <c r="I13" s="50">
        <f>IF(E13 = "", "", IF(AND(E13 &gt;= $C$4, E13 &lt; ($C$4+$C$5)), IF(E13 &lt; ($C$4 + ($C$5/2)), ROUND('Edit Plans'!$M$5,2), ROUND('Edit Plans'!$T$5,2)), 0))</f>
        <v>0</v>
      </c>
      <c r="J13" s="49">
        <f>IF(E13 = "", "", IF(AND(E13 &gt;= $C$4, E13 &lt; ($C$4+$C$5)), ROUND('Edit Plans'!$M$6/$C$5,2), 0))</f>
        <v>0</v>
      </c>
      <c r="K13" s="50">
        <f>IF(E13="","", IF(AND($C$4 &lt;&gt; 0, E13 &gt;= $C$4), ROUND('Edit Plans'!$J$7,2), 0))</f>
        <v>0</v>
      </c>
      <c r="L13" s="50">
        <f>IF(E13="","",IF(AND(E13&gt;=65,E13&lt;=94),ROUND('Edit Plans'!$I$8+(E13-65)*'Edit Plans'!$N$8,2),0))</f>
        <v>0</v>
      </c>
      <c r="M13" s="50">
        <f>IF(E13="","", IF(AND(E13 &gt;= 60, E13 &lt;= 100), ROUND(E13*'Edit Plans'!$J$9,2), 0))</f>
        <v>0</v>
      </c>
    </row>
    <row r="14" spans="2:17" x14ac:dyDescent="0.25">
      <c r="E14" s="5">
        <f t="shared" si="0"/>
        <v>12</v>
      </c>
      <c r="F14" s="5">
        <f t="shared" si="1"/>
        <v>13</v>
      </c>
      <c r="G14" s="50">
        <f>IF(E14="","",IF(AND(E14&gt;=$C$4,E14&lt;($C$4+$C$5)), ROUND('Edit Plans'!$I$3,2),0))</f>
        <v>0</v>
      </c>
      <c r="H14" s="50">
        <f>IF(E14 = "", "", IF(AND(E14 &gt;= $C$4, E14 &lt; ($C$4+$C$5)), IF(MOD(E14-$C$4, 2) = 0, ROUND('Edit Plans'!$I$4,2), 0), 0))</f>
        <v>0</v>
      </c>
      <c r="I14" s="50">
        <f>IF(E14 = "", "", IF(AND(E14 &gt;= $C$4, E14 &lt; ($C$4+$C$5)), IF(E14 &lt; ($C$4 + ($C$5/2)), ROUND('Edit Plans'!$M$5,2), ROUND('Edit Plans'!$T$5,2)), 0))</f>
        <v>0</v>
      </c>
      <c r="J14" s="49">
        <f>IF(E14 = "", "", IF(AND(E14 &gt;= $C$4, E14 &lt; ($C$4+$C$5)), ROUND('Edit Plans'!$M$6/$C$5,2), 0))</f>
        <v>0</v>
      </c>
      <c r="K14" s="50">
        <f>IF(E14="","", IF(AND($C$4 &lt;&gt; 0, E14 &gt;= $C$4), ROUND('Edit Plans'!$J$7,2), 0))</f>
        <v>0</v>
      </c>
      <c r="L14" s="50">
        <f>IF(E14="","",IF(AND(E14&gt;=65,E14&lt;=94),ROUND('Edit Plans'!$I$8+(E14-65)*'Edit Plans'!$N$8,2),0))</f>
        <v>0</v>
      </c>
      <c r="M14" s="50">
        <f>IF(E14="","", IF(AND(E14 &gt;= 60, E14 &lt;= 100), ROUND(E14*'Edit Plans'!$J$9,2), 0))</f>
        <v>0</v>
      </c>
    </row>
    <row r="15" spans="2:17" x14ac:dyDescent="0.25">
      <c r="E15" s="5">
        <f t="shared" si="0"/>
        <v>13</v>
      </c>
      <c r="F15" s="5">
        <f t="shared" si="1"/>
        <v>14</v>
      </c>
      <c r="G15" s="50">
        <f>IF(E15="","",IF(AND(E15&gt;=$C$4,E15&lt;($C$4+$C$5)), ROUND('Edit Plans'!$I$3,2),0))</f>
        <v>0</v>
      </c>
      <c r="H15" s="50">
        <f>IF(E15 = "", "", IF(AND(E15 &gt;= $C$4, E15 &lt; ($C$4+$C$5)), IF(MOD(E15-$C$4, 2) = 0, ROUND('Edit Plans'!$I$4,2), 0), 0))</f>
        <v>0</v>
      </c>
      <c r="I15" s="50">
        <f>IF(E15 = "", "", IF(AND(E15 &gt;= $C$4, E15 &lt; ($C$4+$C$5)), IF(E15 &lt; ($C$4 + ($C$5/2)), ROUND('Edit Plans'!$M$5,2), ROUND('Edit Plans'!$T$5,2)), 0))</f>
        <v>0</v>
      </c>
      <c r="J15" s="49">
        <f>IF(E15 = "", "", IF(AND(E15 &gt;= $C$4, E15 &lt; ($C$4+$C$5)), ROUND('Edit Plans'!$M$6/$C$5,2), 0))</f>
        <v>0</v>
      </c>
      <c r="K15" s="50">
        <f>IF(E15="","", IF(AND($C$4 &lt;&gt; 0, E15 &gt;= $C$4), ROUND('Edit Plans'!$J$7,2), 0))</f>
        <v>0</v>
      </c>
      <c r="L15" s="50">
        <f>IF(E15="","",IF(AND(E15&gt;=65,E15&lt;=94),ROUND('Edit Plans'!$I$8+(E15-65)*'Edit Plans'!$N$8,2),0))</f>
        <v>0</v>
      </c>
      <c r="M15" s="50">
        <f>IF(E15="","", IF(AND(E15 &gt;= 60, E15 &lt;= 100), ROUND(E15*'Edit Plans'!$J$9,2), 0))</f>
        <v>0</v>
      </c>
    </row>
    <row r="16" spans="2:17" x14ac:dyDescent="0.25">
      <c r="E16" s="5">
        <f t="shared" si="0"/>
        <v>14</v>
      </c>
      <c r="F16" s="5">
        <f t="shared" si="1"/>
        <v>15</v>
      </c>
      <c r="G16" s="50">
        <f>IF(E16="","",IF(AND(E16&gt;=$C$4,E16&lt;($C$4+$C$5)), ROUND('Edit Plans'!$I$3,2),0))</f>
        <v>0</v>
      </c>
      <c r="H16" s="50">
        <f>IF(E16 = "", "", IF(AND(E16 &gt;= $C$4, E16 &lt; ($C$4+$C$5)), IF(MOD(E16-$C$4, 2) = 0, ROUND('Edit Plans'!$I$4,2), 0), 0))</f>
        <v>0</v>
      </c>
      <c r="I16" s="50">
        <f>IF(E16 = "", "", IF(AND(E16 &gt;= $C$4, E16 &lt; ($C$4+$C$5)), IF(E16 &lt; ($C$4 + ($C$5/2)), ROUND('Edit Plans'!$M$5,2), ROUND('Edit Plans'!$T$5,2)), 0))</f>
        <v>0</v>
      </c>
      <c r="J16" s="49">
        <f>IF(E16 = "", "", IF(AND(E16 &gt;= $C$4, E16 &lt; ($C$4+$C$5)), ROUND('Edit Plans'!$M$6/$C$5,2), 0))</f>
        <v>0</v>
      </c>
      <c r="K16" s="50">
        <f>IF(E16="","", IF(AND($C$4 &lt;&gt; 0, E16 &gt;= $C$4), ROUND('Edit Plans'!$J$7,2), 0))</f>
        <v>0</v>
      </c>
      <c r="L16" s="50">
        <f>IF(E16="","",IF(AND(E16&gt;=65,E16&lt;=94),ROUND('Edit Plans'!$I$8+(E16-65)*'Edit Plans'!$N$8,2),0))</f>
        <v>0</v>
      </c>
      <c r="M16" s="50">
        <f>IF(E16="","", IF(AND(E16 &gt;= 60, E16 &lt;= 100), ROUND(E16*'Edit Plans'!$J$9,2), 0))</f>
        <v>0</v>
      </c>
    </row>
    <row r="17" spans="5:13" x14ac:dyDescent="0.25">
      <c r="E17" s="5">
        <f t="shared" si="0"/>
        <v>15</v>
      </c>
      <c r="F17" s="5">
        <f t="shared" si="1"/>
        <v>16</v>
      </c>
      <c r="G17" s="50">
        <f>IF(E17="","",IF(AND(E17&gt;=$C$4,E17&lt;($C$4+$C$5)), ROUND('Edit Plans'!$I$3,2),0))</f>
        <v>0</v>
      </c>
      <c r="H17" s="50">
        <f>IF(E17 = "", "", IF(AND(E17 &gt;= $C$4, E17 &lt; ($C$4+$C$5)), IF(MOD(E17-$C$4, 2) = 0, ROUND('Edit Plans'!$I$4,2), 0), 0))</f>
        <v>0</v>
      </c>
      <c r="I17" s="50">
        <f>IF(E17 = "", "", IF(AND(E17 &gt;= $C$4, E17 &lt; ($C$4+$C$5)), IF(E17 &lt; ($C$4 + ($C$5/2)), ROUND('Edit Plans'!$M$5,2), ROUND('Edit Plans'!$T$5,2)), 0))</f>
        <v>0</v>
      </c>
      <c r="J17" s="49">
        <f>IF(E17 = "", "", IF(AND(E17 &gt;= $C$4, E17 &lt; ($C$4+$C$5)), ROUND('Edit Plans'!$M$6/$C$5,2), 0))</f>
        <v>0</v>
      </c>
      <c r="K17" s="50">
        <f>IF(E17="","", IF(AND($C$4 &lt;&gt; 0, E17 &gt;= $C$4), ROUND('Edit Plans'!$J$7,2), 0))</f>
        <v>0</v>
      </c>
      <c r="L17" s="50">
        <f>IF(E17="","",IF(AND(E17&gt;=65,E17&lt;=94),ROUND('Edit Plans'!$I$8+(E17-65)*'Edit Plans'!$N$8,2),0))</f>
        <v>0</v>
      </c>
      <c r="M17" s="50">
        <f>IF(E17="","", IF(AND(E17 &gt;= 60, E17 &lt;= 100), ROUND(E17*'Edit Plans'!$J$9,2), 0))</f>
        <v>0</v>
      </c>
    </row>
    <row r="18" spans="5:13" x14ac:dyDescent="0.25">
      <c r="E18" s="5">
        <f t="shared" si="0"/>
        <v>16</v>
      </c>
      <c r="F18" s="5">
        <f t="shared" si="1"/>
        <v>17</v>
      </c>
      <c r="G18" s="50">
        <f>IF(E18="","",IF(AND(E18&gt;=$C$4,E18&lt;($C$4+$C$5)), ROUND('Edit Plans'!$I$3,2),0))</f>
        <v>0</v>
      </c>
      <c r="H18" s="50">
        <f>IF(E18 = "", "", IF(AND(E18 &gt;= $C$4, E18 &lt; ($C$4+$C$5)), IF(MOD(E18-$C$4, 2) = 0, ROUND('Edit Plans'!$I$4,2), 0), 0))</f>
        <v>0</v>
      </c>
      <c r="I18" s="50">
        <f>IF(E18 = "", "", IF(AND(E18 &gt;= $C$4, E18 &lt; ($C$4+$C$5)), IF(E18 &lt; ($C$4 + ($C$5/2)), ROUND('Edit Plans'!$M$5,2), ROUND('Edit Plans'!$T$5,2)), 0))</f>
        <v>0</v>
      </c>
      <c r="J18" s="49">
        <f>IF(E18 = "", "", IF(AND(E18 &gt;= $C$4, E18 &lt; ($C$4+$C$5)), ROUND('Edit Plans'!$M$6/$C$5,2), 0))</f>
        <v>0</v>
      </c>
      <c r="K18" s="50">
        <f>IF(E18="","", IF(AND($C$4 &lt;&gt; 0, E18 &gt;= $C$4), ROUND('Edit Plans'!$J$7,2), 0))</f>
        <v>0</v>
      </c>
      <c r="L18" s="50">
        <f>IF(E18="","",IF(AND(E18&gt;=65,E18&lt;=94),ROUND('Edit Plans'!$I$8+(E18-65)*'Edit Plans'!$N$8,2),0))</f>
        <v>0</v>
      </c>
      <c r="M18" s="50">
        <f>IF(E18="","", IF(AND(E18 &gt;= 60, E18 &lt;= 100), ROUND(E18*'Edit Plans'!$J$9,2), 0))</f>
        <v>0</v>
      </c>
    </row>
    <row r="19" spans="5:13" x14ac:dyDescent="0.25">
      <c r="E19" s="5">
        <f t="shared" si="0"/>
        <v>17</v>
      </c>
      <c r="F19" s="5">
        <f t="shared" si="1"/>
        <v>18</v>
      </c>
      <c r="G19" s="50">
        <f>IF(E19="","",IF(AND(E19&gt;=$C$4,E19&lt;($C$4+$C$5)), ROUND('Edit Plans'!$I$3,2),0))</f>
        <v>0</v>
      </c>
      <c r="H19" s="50">
        <f>IF(E19 = "", "", IF(AND(E19 &gt;= $C$4, E19 &lt; ($C$4+$C$5)), IF(MOD(E19-$C$4, 2) = 0, ROUND('Edit Plans'!$I$4,2), 0), 0))</f>
        <v>0</v>
      </c>
      <c r="I19" s="50">
        <f>IF(E19 = "", "", IF(AND(E19 &gt;= $C$4, E19 &lt; ($C$4+$C$5)), IF(E19 &lt; ($C$4 + ($C$5/2)), ROUND('Edit Plans'!$M$5,2), ROUND('Edit Plans'!$T$5,2)), 0))</f>
        <v>0</v>
      </c>
      <c r="J19" s="49">
        <f>IF(E19 = "", "", IF(AND(E19 &gt;= $C$4, E19 &lt; ($C$4+$C$5)), ROUND('Edit Plans'!$M$6/$C$5,2), 0))</f>
        <v>0</v>
      </c>
      <c r="K19" s="50">
        <f>IF(E19="","", IF(AND($C$4 &lt;&gt; 0, E19 &gt;= $C$4), ROUND('Edit Plans'!$J$7,2), 0))</f>
        <v>0</v>
      </c>
      <c r="L19" s="50">
        <f>IF(E19="","",IF(AND(E19&gt;=65,E19&lt;=94),ROUND('Edit Plans'!$I$8+(E19-65)*'Edit Plans'!$N$8,2),0))</f>
        <v>0</v>
      </c>
      <c r="M19" s="50">
        <f>IF(E19="","", IF(AND(E19 &gt;= 60, E19 &lt;= 100), ROUND(E19*'Edit Plans'!$J$9,2), 0))</f>
        <v>0</v>
      </c>
    </row>
    <row r="20" spans="5:13" x14ac:dyDescent="0.25">
      <c r="E20" s="5">
        <f t="shared" si="0"/>
        <v>18</v>
      </c>
      <c r="F20" s="5">
        <f t="shared" si="1"/>
        <v>19</v>
      </c>
      <c r="G20" s="50">
        <f>IF(E20="","",IF(AND(E20&gt;=$C$4,E20&lt;($C$4+$C$5)), ROUND('Edit Plans'!$I$3,2),0))</f>
        <v>0</v>
      </c>
      <c r="H20" s="50">
        <f>IF(E20 = "", "", IF(AND(E20 &gt;= $C$4, E20 &lt; ($C$4+$C$5)), IF(MOD(E20-$C$4, 2) = 0, ROUND('Edit Plans'!$I$4,2), 0), 0))</f>
        <v>0</v>
      </c>
      <c r="I20" s="50">
        <f>IF(E20 = "", "", IF(AND(E20 &gt;= $C$4, E20 &lt; ($C$4+$C$5)), IF(E20 &lt; ($C$4 + ($C$5/2)), ROUND('Edit Plans'!$M$5,2), ROUND('Edit Plans'!$T$5,2)), 0))</f>
        <v>0</v>
      </c>
      <c r="J20" s="49">
        <f>IF(E20 = "", "", IF(AND(E20 &gt;= $C$4, E20 &lt; ($C$4+$C$5)), ROUND('Edit Plans'!$M$6/$C$5,2), 0))</f>
        <v>0</v>
      </c>
      <c r="K20" s="50">
        <f>IF(E20="","", IF(AND($C$4 &lt;&gt; 0, E20 &gt;= $C$4), ROUND('Edit Plans'!$J$7,2), 0))</f>
        <v>0</v>
      </c>
      <c r="L20" s="50">
        <f>IF(E20="","",IF(AND(E20&gt;=65,E20&lt;=94),ROUND('Edit Plans'!$I$8+(E20-65)*'Edit Plans'!$N$8,2),0))</f>
        <v>0</v>
      </c>
      <c r="M20" s="50">
        <f>IF(E20="","", IF(AND(E20 &gt;= 60, E20 &lt;= 100), ROUND(E20*'Edit Plans'!$J$9,2), 0))</f>
        <v>0</v>
      </c>
    </row>
    <row r="21" spans="5:13" x14ac:dyDescent="0.25">
      <c r="E21" s="5">
        <f t="shared" si="0"/>
        <v>19</v>
      </c>
      <c r="F21" s="5">
        <f t="shared" si="1"/>
        <v>20</v>
      </c>
      <c r="G21" s="50">
        <f>IF(E21="","",IF(AND(E21&gt;=$C$4,E21&lt;($C$4+$C$5)), ROUND('Edit Plans'!$I$3,2),0))</f>
        <v>0</v>
      </c>
      <c r="H21" s="50">
        <f>IF(E21 = "", "", IF(AND(E21 &gt;= $C$4, E21 &lt; ($C$4+$C$5)), IF(MOD(E21-$C$4, 2) = 0, ROUND('Edit Plans'!$I$4,2), 0), 0))</f>
        <v>0</v>
      </c>
      <c r="I21" s="50">
        <f>IF(E21 = "", "", IF(AND(E21 &gt;= $C$4, E21 &lt; ($C$4+$C$5)), IF(E21 &lt; ($C$4 + ($C$5/2)), ROUND('Edit Plans'!$M$5,2), ROUND('Edit Plans'!$T$5,2)), 0))</f>
        <v>0</v>
      </c>
      <c r="J21" s="49">
        <f>IF(E21 = "", "", IF(AND(E21 &gt;= $C$4, E21 &lt; ($C$4+$C$5)), ROUND('Edit Plans'!$M$6/$C$5,2), 0))</f>
        <v>0</v>
      </c>
      <c r="K21" s="50">
        <f>IF(E21="","", IF(AND($C$4 &lt;&gt; 0, E21 &gt;= $C$4), ROUND('Edit Plans'!$J$7,2), 0))</f>
        <v>0</v>
      </c>
      <c r="L21" s="50">
        <f>IF(E21="","",IF(AND(E21&gt;=65,E21&lt;=94),ROUND('Edit Plans'!$I$8+(E21-65)*'Edit Plans'!$N$8,2),0))</f>
        <v>0</v>
      </c>
      <c r="M21" s="50">
        <f>IF(E21="","", IF(AND(E21 &gt;= 60, E21 &lt;= 100), ROUND(E21*'Edit Plans'!$J$9,2), 0))</f>
        <v>0</v>
      </c>
    </row>
    <row r="22" spans="5:13" x14ac:dyDescent="0.25">
      <c r="E22" s="5">
        <f t="shared" si="0"/>
        <v>20</v>
      </c>
      <c r="F22" s="5">
        <f t="shared" si="1"/>
        <v>21</v>
      </c>
      <c r="G22" s="50">
        <f>IF(E22="","",IF(AND(E22&gt;=$C$4,E22&lt;($C$4+$C$5)), ROUND('Edit Plans'!$I$3,2),0))</f>
        <v>0</v>
      </c>
      <c r="H22" s="50">
        <f>IF(E22 = "", "", IF(AND(E22 &gt;= $C$4, E22 &lt; ($C$4+$C$5)), IF(MOD(E22-$C$4, 2) = 0, ROUND('Edit Plans'!$I$4,2), 0), 0))</f>
        <v>0</v>
      </c>
      <c r="I22" s="50">
        <f>IF(E22 = "", "", IF(AND(E22 &gt;= $C$4, E22 &lt; ($C$4+$C$5)), IF(E22 &lt; ($C$4 + ($C$5/2)), ROUND('Edit Plans'!$M$5,2), ROUND('Edit Plans'!$T$5,2)), 0))</f>
        <v>0</v>
      </c>
      <c r="J22" s="49">
        <f>IF(E22 = "", "", IF(AND(E22 &gt;= $C$4, E22 &lt; ($C$4+$C$5)), ROUND('Edit Plans'!$M$6/$C$5,2), 0))</f>
        <v>0</v>
      </c>
      <c r="K22" s="50">
        <f>IF(E22="","", IF(AND($C$4 &lt;&gt; 0, E22 &gt;= $C$4), ROUND('Edit Plans'!$J$7,2), 0))</f>
        <v>0</v>
      </c>
      <c r="L22" s="50">
        <f>IF(E22="","",IF(AND(E22&gt;=65,E22&lt;=94),ROUND('Edit Plans'!$I$8+(E22-65)*'Edit Plans'!$N$8,2),0))</f>
        <v>0</v>
      </c>
      <c r="M22" s="50">
        <f>IF(E22="","", IF(AND(E22 &gt;= 60, E22 &lt;= 100), ROUND(E22*'Edit Plans'!$J$9,2), 0))</f>
        <v>0</v>
      </c>
    </row>
    <row r="23" spans="5:13" x14ac:dyDescent="0.25">
      <c r="E23" s="5">
        <f t="shared" si="0"/>
        <v>21</v>
      </c>
      <c r="F23" s="5">
        <f t="shared" si="1"/>
        <v>22</v>
      </c>
      <c r="G23" s="50">
        <f>IF(E23="","",IF(AND(E23&gt;=$C$4,E23&lt;($C$4+$C$5)), ROUND('Edit Plans'!$I$3,2),0))</f>
        <v>0</v>
      </c>
      <c r="H23" s="50">
        <f>IF(E23 = "", "", IF(AND(E23 &gt;= $C$4, E23 &lt; ($C$4+$C$5)), IF(MOD(E23-$C$4, 2) = 0, ROUND('Edit Plans'!$I$4,2), 0), 0))</f>
        <v>0</v>
      </c>
      <c r="I23" s="50">
        <f>IF(E23 = "", "", IF(AND(E23 &gt;= $C$4, E23 &lt; ($C$4+$C$5)), IF(E23 &lt; ($C$4 + ($C$5/2)), ROUND('Edit Plans'!$M$5,2), ROUND('Edit Plans'!$T$5,2)), 0))</f>
        <v>0</v>
      </c>
      <c r="J23" s="49">
        <f>IF(E23 = "", "", IF(AND(E23 &gt;= $C$4, E23 &lt; ($C$4+$C$5)), ROUND('Edit Plans'!$M$6/$C$5,2), 0))</f>
        <v>0</v>
      </c>
      <c r="K23" s="50">
        <f>IF(E23="","", IF(AND($C$4 &lt;&gt; 0, E23 &gt;= $C$4), ROUND('Edit Plans'!$J$7,2), 0))</f>
        <v>0</v>
      </c>
      <c r="L23" s="50">
        <f>IF(E23="","",IF(AND(E23&gt;=65,E23&lt;=94),ROUND('Edit Plans'!$I$8+(E23-65)*'Edit Plans'!$N$8,2),0))</f>
        <v>0</v>
      </c>
      <c r="M23" s="50">
        <f>IF(E23="","", IF(AND(E23 &gt;= 60, E23 &lt;= 100), ROUND(E23*'Edit Plans'!$J$9,2), 0))</f>
        <v>0</v>
      </c>
    </row>
    <row r="24" spans="5:13" x14ac:dyDescent="0.25">
      <c r="E24" s="5">
        <f t="shared" si="0"/>
        <v>22</v>
      </c>
      <c r="F24" s="5">
        <f t="shared" si="1"/>
        <v>23</v>
      </c>
      <c r="G24" s="50">
        <f>IF(E24="","",IF(AND(E24&gt;=$C$4,E24&lt;($C$4+$C$5)), ROUND('Edit Plans'!$I$3,2),0))</f>
        <v>0</v>
      </c>
      <c r="H24" s="50">
        <f>IF(E24 = "", "", IF(AND(E24 &gt;= $C$4, E24 &lt; ($C$4+$C$5)), IF(MOD(E24-$C$4, 2) = 0, ROUND('Edit Plans'!$I$4,2), 0), 0))</f>
        <v>0</v>
      </c>
      <c r="I24" s="50">
        <f>IF(E24 = "", "", IF(AND(E24 &gt;= $C$4, E24 &lt; ($C$4+$C$5)), IF(E24 &lt; ($C$4 + ($C$5/2)), ROUND('Edit Plans'!$M$5,2), ROUND('Edit Plans'!$T$5,2)), 0))</f>
        <v>0</v>
      </c>
      <c r="J24" s="49">
        <f>IF(E24 = "", "", IF(AND(E24 &gt;= $C$4, E24 &lt; ($C$4+$C$5)), ROUND('Edit Plans'!$M$6/$C$5,2), 0))</f>
        <v>0</v>
      </c>
      <c r="K24" s="50">
        <f>IF(E24="","", IF(AND($C$4 &lt;&gt; 0, E24 &gt;= $C$4), ROUND('Edit Plans'!$J$7,2), 0))</f>
        <v>0</v>
      </c>
      <c r="L24" s="50">
        <f>IF(E24="","",IF(AND(E24&gt;=65,E24&lt;=94),ROUND('Edit Plans'!$I$8+(E24-65)*'Edit Plans'!$N$8,2),0))</f>
        <v>0</v>
      </c>
      <c r="M24" s="50">
        <f>IF(E24="","", IF(AND(E24 &gt;= 60, E24 &lt;= 100), ROUND(E24*'Edit Plans'!$J$9,2), 0))</f>
        <v>0</v>
      </c>
    </row>
    <row r="25" spans="5:13" x14ac:dyDescent="0.25">
      <c r="E25" s="5">
        <f t="shared" si="0"/>
        <v>23</v>
      </c>
      <c r="F25" s="5">
        <f t="shared" si="1"/>
        <v>24</v>
      </c>
      <c r="G25" s="50">
        <f>IF(E25="","",IF(AND(E25&gt;=$C$4,E25&lt;($C$4+$C$5)), ROUND('Edit Plans'!$I$3,2),0))</f>
        <v>0</v>
      </c>
      <c r="H25" s="50">
        <f>IF(E25 = "", "", IF(AND(E25 &gt;= $C$4, E25 &lt; ($C$4+$C$5)), IF(MOD(E25-$C$4, 2) = 0, ROUND('Edit Plans'!$I$4,2), 0), 0))</f>
        <v>0</v>
      </c>
      <c r="I25" s="50">
        <f>IF(E25 = "", "", IF(AND(E25 &gt;= $C$4, E25 &lt; ($C$4+$C$5)), IF(E25 &lt; ($C$4 + ($C$5/2)), ROUND('Edit Plans'!$M$5,2), ROUND('Edit Plans'!$T$5,2)), 0))</f>
        <v>0</v>
      </c>
      <c r="J25" s="49">
        <f>IF(E25 = "", "", IF(AND(E25 &gt;= $C$4, E25 &lt; ($C$4+$C$5)), ROUND('Edit Plans'!$M$6/$C$5,2), 0))</f>
        <v>0</v>
      </c>
      <c r="K25" s="50">
        <f>IF(E25="","", IF(AND($C$4 &lt;&gt; 0, E25 &gt;= $C$4), ROUND('Edit Plans'!$J$7,2), 0))</f>
        <v>0</v>
      </c>
      <c r="L25" s="50">
        <f>IF(E25="","",IF(AND(E25&gt;=65,E25&lt;=94),ROUND('Edit Plans'!$I$8+(E25-65)*'Edit Plans'!$N$8,2),0))</f>
        <v>0</v>
      </c>
      <c r="M25" s="50">
        <f>IF(E25="","", IF(AND(E25 &gt;= 60, E25 &lt;= 100), ROUND(E25*'Edit Plans'!$J$9,2), 0))</f>
        <v>0</v>
      </c>
    </row>
    <row r="26" spans="5:13" x14ac:dyDescent="0.25">
      <c r="E26" s="5">
        <f t="shared" si="0"/>
        <v>24</v>
      </c>
      <c r="F26" s="5">
        <f t="shared" si="1"/>
        <v>25</v>
      </c>
      <c r="G26" s="50">
        <f>IF(E26="","",IF(AND(E26&gt;=$C$4,E26&lt;($C$4+$C$5)), ROUND('Edit Plans'!$I$3,2),0))</f>
        <v>0</v>
      </c>
      <c r="H26" s="50">
        <f>IF(E26 = "", "", IF(AND(E26 &gt;= $C$4, E26 &lt; ($C$4+$C$5)), IF(MOD(E26-$C$4, 2) = 0, ROUND('Edit Plans'!$I$4,2), 0), 0))</f>
        <v>0</v>
      </c>
      <c r="I26" s="50">
        <f>IF(E26 = "", "", IF(AND(E26 &gt;= $C$4, E26 &lt; ($C$4+$C$5)), IF(E26 &lt; ($C$4 + ($C$5/2)), ROUND('Edit Plans'!$M$5,2), ROUND('Edit Plans'!$T$5,2)), 0))</f>
        <v>0</v>
      </c>
      <c r="J26" s="49">
        <f>IF(E26 = "", "", IF(AND(E26 &gt;= $C$4, E26 &lt; ($C$4+$C$5)), ROUND('Edit Plans'!$M$6/$C$5,2), 0))</f>
        <v>0</v>
      </c>
      <c r="K26" s="50">
        <f>IF(E26="","", IF(AND($C$4 &lt;&gt; 0, E26 &gt;= $C$4), ROUND('Edit Plans'!$J$7,2), 0))</f>
        <v>0</v>
      </c>
      <c r="L26" s="50">
        <f>IF(E26="","",IF(AND(E26&gt;=65,E26&lt;=94),ROUND('Edit Plans'!$I$8+(E26-65)*'Edit Plans'!$N$8,2),0))</f>
        <v>0</v>
      </c>
      <c r="M26" s="50">
        <f>IF(E26="","", IF(AND(E26 &gt;= 60, E26 &lt;= 100), ROUND(E26*'Edit Plans'!$J$9,2), 0))</f>
        <v>0</v>
      </c>
    </row>
    <row r="27" spans="5:13" x14ac:dyDescent="0.25">
      <c r="E27" s="5">
        <f t="shared" si="0"/>
        <v>25</v>
      </c>
      <c r="F27" s="5">
        <f t="shared" si="1"/>
        <v>26</v>
      </c>
      <c r="G27" s="50">
        <f>IF(E27="","",IF(AND(E27&gt;=$C$4,E27&lt;($C$4+$C$5)), ROUND('Edit Plans'!$I$3,2),0))</f>
        <v>0</v>
      </c>
      <c r="H27" s="50">
        <f>IF(E27 = "", "", IF(AND(E27 &gt;= $C$4, E27 &lt; ($C$4+$C$5)), IF(MOD(E27-$C$4, 2) = 0, ROUND('Edit Plans'!$I$4,2), 0), 0))</f>
        <v>0</v>
      </c>
      <c r="I27" s="50">
        <f>IF(E27 = "", "", IF(AND(E27 &gt;= $C$4, E27 &lt; ($C$4+$C$5)), IF(E27 &lt; ($C$4 + ($C$5/2)), ROUND('Edit Plans'!$M$5,2), ROUND('Edit Plans'!$T$5,2)), 0))</f>
        <v>0</v>
      </c>
      <c r="J27" s="49">
        <f>IF(E27 = "", "", IF(AND(E27 &gt;= $C$4, E27 &lt; ($C$4+$C$5)), ROUND('Edit Plans'!$M$6/$C$5,2), 0))</f>
        <v>0</v>
      </c>
      <c r="K27" s="50">
        <f>IF(E27="","", IF(AND($C$4 &lt;&gt; 0, E27 &gt;= $C$4), ROUND('Edit Plans'!$J$7,2), 0))</f>
        <v>0</v>
      </c>
      <c r="L27" s="50">
        <f>IF(E27="","",IF(AND(E27&gt;=65,E27&lt;=94),ROUND('Edit Plans'!$I$8+(E27-65)*'Edit Plans'!$N$8,2),0))</f>
        <v>0</v>
      </c>
      <c r="M27" s="50">
        <f>IF(E27="","", IF(AND(E27 &gt;= 60, E27 &lt;= 100), ROUND(E27*'Edit Plans'!$J$9,2), 0))</f>
        <v>0</v>
      </c>
    </row>
    <row r="28" spans="5:13" x14ac:dyDescent="0.25">
      <c r="E28" s="5">
        <f t="shared" si="0"/>
        <v>26</v>
      </c>
      <c r="F28" s="5">
        <f t="shared" si="1"/>
        <v>27</v>
      </c>
      <c r="G28" s="50">
        <f>IF(E28="","",IF(AND(E28&gt;=$C$4,E28&lt;($C$4+$C$5)), ROUND('Edit Plans'!$I$3,2),0))</f>
        <v>0</v>
      </c>
      <c r="H28" s="50">
        <f>IF(E28 = "", "", IF(AND(E28 &gt;= $C$4, E28 &lt; ($C$4+$C$5)), IF(MOD(E28-$C$4, 2) = 0, ROUND('Edit Plans'!$I$4,2), 0), 0))</f>
        <v>0</v>
      </c>
      <c r="I28" s="50">
        <f>IF(E28 = "", "", IF(AND(E28 &gt;= $C$4, E28 &lt; ($C$4+$C$5)), IF(E28 &lt; ($C$4 + ($C$5/2)), ROUND('Edit Plans'!$M$5,2), ROUND('Edit Plans'!$T$5,2)), 0))</f>
        <v>0</v>
      </c>
      <c r="J28" s="49">
        <f>IF(E28 = "", "", IF(AND(E28 &gt;= $C$4, E28 &lt; ($C$4+$C$5)), ROUND('Edit Plans'!$M$6/$C$5,2), 0))</f>
        <v>0</v>
      </c>
      <c r="K28" s="50">
        <f>IF(E28="","", IF(AND($C$4 &lt;&gt; 0, E28 &gt;= $C$4), ROUND('Edit Plans'!$J$7,2), 0))</f>
        <v>0</v>
      </c>
      <c r="L28" s="50">
        <f>IF(E28="","",IF(AND(E28&gt;=65,E28&lt;=94),ROUND('Edit Plans'!$I$8+(E28-65)*'Edit Plans'!$N$8,2),0))</f>
        <v>0</v>
      </c>
      <c r="M28" s="50">
        <f>IF(E28="","", IF(AND(E28 &gt;= 60, E28 &lt;= 100), ROUND(E28*'Edit Plans'!$J$9,2), 0))</f>
        <v>0</v>
      </c>
    </row>
    <row r="29" spans="5:13" x14ac:dyDescent="0.25">
      <c r="E29" s="5">
        <f t="shared" si="0"/>
        <v>27</v>
      </c>
      <c r="F29" s="5">
        <f t="shared" si="1"/>
        <v>28</v>
      </c>
      <c r="G29" s="50">
        <f>IF(E29="","",IF(AND(E29&gt;=$C$4,E29&lt;($C$4+$C$5)), ROUND('Edit Plans'!$I$3,2),0))</f>
        <v>0</v>
      </c>
      <c r="H29" s="50">
        <f>IF(E29 = "", "", IF(AND(E29 &gt;= $C$4, E29 &lt; ($C$4+$C$5)), IF(MOD(E29-$C$4, 2) = 0, ROUND('Edit Plans'!$I$4,2), 0), 0))</f>
        <v>0</v>
      </c>
      <c r="I29" s="50">
        <f>IF(E29 = "", "", IF(AND(E29 &gt;= $C$4, E29 &lt; ($C$4+$C$5)), IF(E29 &lt; ($C$4 + ($C$5/2)), ROUND('Edit Plans'!$M$5,2), ROUND('Edit Plans'!$T$5,2)), 0))</f>
        <v>0</v>
      </c>
      <c r="J29" s="49">
        <f>IF(E29 = "", "", IF(AND(E29 &gt;= $C$4, E29 &lt; ($C$4+$C$5)), ROUND('Edit Plans'!$M$6/$C$5,2), 0))</f>
        <v>0</v>
      </c>
      <c r="K29" s="50">
        <f>IF(E29="","", IF(AND($C$4 &lt;&gt; 0, E29 &gt;= $C$4), ROUND('Edit Plans'!$J$7,2), 0))</f>
        <v>0</v>
      </c>
      <c r="L29" s="50">
        <f>IF(E29="","",IF(AND(E29&gt;=65,E29&lt;=94),ROUND('Edit Plans'!$I$8+(E29-65)*'Edit Plans'!$N$8,2),0))</f>
        <v>0</v>
      </c>
      <c r="M29" s="50">
        <f>IF(E29="","", IF(AND(E29 &gt;= 60, E29 &lt;= 100), ROUND(E29*'Edit Plans'!$J$9,2), 0))</f>
        <v>0</v>
      </c>
    </row>
    <row r="30" spans="5:13" x14ac:dyDescent="0.25">
      <c r="E30" s="5">
        <f t="shared" si="0"/>
        <v>28</v>
      </c>
      <c r="F30" s="5">
        <f t="shared" si="1"/>
        <v>29</v>
      </c>
      <c r="G30" s="50">
        <f>IF(E30="","",IF(AND(E30&gt;=$C$4,E30&lt;($C$4+$C$5)), ROUND('Edit Plans'!$I$3,2),0))</f>
        <v>0</v>
      </c>
      <c r="H30" s="50">
        <f>IF(E30 = "", "", IF(AND(E30 &gt;= $C$4, E30 &lt; ($C$4+$C$5)), IF(MOD(E30-$C$4, 2) = 0, ROUND('Edit Plans'!$I$4,2), 0), 0))</f>
        <v>0</v>
      </c>
      <c r="I30" s="50">
        <f>IF(E30 = "", "", IF(AND(E30 &gt;= $C$4, E30 &lt; ($C$4+$C$5)), IF(E30 &lt; ($C$4 + ($C$5/2)), ROUND('Edit Plans'!$M$5,2), ROUND('Edit Plans'!$T$5,2)), 0))</f>
        <v>0</v>
      </c>
      <c r="J30" s="49">
        <f>IF(E30 = "", "", IF(AND(E30 &gt;= $C$4, E30 &lt; ($C$4+$C$5)), ROUND('Edit Plans'!$M$6/$C$5,2), 0))</f>
        <v>0</v>
      </c>
      <c r="K30" s="50">
        <f>IF(E30="","", IF(AND($C$4 &lt;&gt; 0, E30 &gt;= $C$4), ROUND('Edit Plans'!$J$7,2), 0))</f>
        <v>0</v>
      </c>
      <c r="L30" s="50">
        <f>IF(E30="","",IF(AND(E30&gt;=65,E30&lt;=94),ROUND('Edit Plans'!$I$8+(E30-65)*'Edit Plans'!$N$8,2),0))</f>
        <v>0</v>
      </c>
      <c r="M30" s="50">
        <f>IF(E30="","", IF(AND(E30 &gt;= 60, E30 &lt;= 100), ROUND(E30*'Edit Plans'!$J$9,2), 0))</f>
        <v>0</v>
      </c>
    </row>
    <row r="31" spans="5:13" x14ac:dyDescent="0.25">
      <c r="E31" s="5">
        <f t="shared" si="0"/>
        <v>29</v>
      </c>
      <c r="F31" s="5">
        <f t="shared" si="1"/>
        <v>30</v>
      </c>
      <c r="G31" s="50">
        <f>IF(E31="","",IF(AND(E31&gt;=$C$4,E31&lt;($C$4+$C$5)), ROUND('Edit Plans'!$I$3,2),0))</f>
        <v>0</v>
      </c>
      <c r="H31" s="50">
        <f>IF(E31 = "", "", IF(AND(E31 &gt;= $C$4, E31 &lt; ($C$4+$C$5)), IF(MOD(E31-$C$4, 2) = 0, ROUND('Edit Plans'!$I$4,2), 0), 0))</f>
        <v>0</v>
      </c>
      <c r="I31" s="50">
        <f>IF(E31 = "", "", IF(AND(E31 &gt;= $C$4, E31 &lt; ($C$4+$C$5)), IF(E31 &lt; ($C$4 + ($C$5/2)), ROUND('Edit Plans'!$M$5,2), ROUND('Edit Plans'!$T$5,2)), 0))</f>
        <v>0</v>
      </c>
      <c r="J31" s="49">
        <f>IF(E31 = "", "", IF(AND(E31 &gt;= $C$4, E31 &lt; ($C$4+$C$5)), ROUND('Edit Plans'!$M$6/$C$5,2), 0))</f>
        <v>0</v>
      </c>
      <c r="K31" s="50">
        <f>IF(E31="","", IF(AND($C$4 &lt;&gt; 0, E31 &gt;= $C$4), ROUND('Edit Plans'!$J$7,2), 0))</f>
        <v>0</v>
      </c>
      <c r="L31" s="50">
        <f>IF(E31="","",IF(AND(E31&gt;=65,E31&lt;=94),ROUND('Edit Plans'!$I$8+(E31-65)*'Edit Plans'!$N$8,2),0))</f>
        <v>0</v>
      </c>
      <c r="M31" s="50">
        <f>IF(E31="","", IF(AND(E31 &gt;= 60, E31 &lt;= 100), ROUND(E31*'Edit Plans'!$J$9,2), 0))</f>
        <v>0</v>
      </c>
    </row>
    <row r="32" spans="5:13" x14ac:dyDescent="0.25">
      <c r="E32" s="5">
        <f t="shared" si="0"/>
        <v>30</v>
      </c>
      <c r="F32" s="5">
        <f t="shared" si="1"/>
        <v>31</v>
      </c>
      <c r="G32" s="50">
        <f>IF(E32="","",IF(AND(E32&gt;=$C$4,E32&lt;($C$4+$C$5)), ROUND('Edit Plans'!$I$3,2),0))</f>
        <v>0</v>
      </c>
      <c r="H32" s="50">
        <f>IF(E32 = "", "", IF(AND(E32 &gt;= $C$4, E32 &lt; ($C$4+$C$5)), IF(MOD(E32-$C$4, 2) = 0, ROUND('Edit Plans'!$I$4,2), 0), 0))</f>
        <v>0</v>
      </c>
      <c r="I32" s="50">
        <f>IF(E32 = "", "", IF(AND(E32 &gt;= $C$4, E32 &lt; ($C$4+$C$5)), IF(E32 &lt; ($C$4 + ($C$5/2)), ROUND('Edit Plans'!$M$5,2), ROUND('Edit Plans'!$T$5,2)), 0))</f>
        <v>0</v>
      </c>
      <c r="J32" s="49">
        <f>IF(E32 = "", "", IF(AND(E32 &gt;= $C$4, E32 &lt; ($C$4+$C$5)), ROUND('Edit Plans'!$M$6/$C$5,2), 0))</f>
        <v>0</v>
      </c>
      <c r="K32" s="50">
        <f>IF(E32="","", IF(AND($C$4 &lt;&gt; 0, E32 &gt;= $C$4), ROUND('Edit Plans'!$J$7,2), 0))</f>
        <v>0</v>
      </c>
      <c r="L32" s="50">
        <f>IF(E32="","",IF(AND(E32&gt;=65,E32&lt;=94),ROUND('Edit Plans'!$I$8+(E32-65)*'Edit Plans'!$N$8,2),0))</f>
        <v>0</v>
      </c>
      <c r="M32" s="50">
        <f>IF(E32="","", IF(AND(E32 &gt;= 60, E32 &lt;= 100), ROUND(E32*'Edit Plans'!$J$9,2), 0))</f>
        <v>0</v>
      </c>
    </row>
    <row r="33" spans="5:13" x14ac:dyDescent="0.25">
      <c r="E33" s="5">
        <f t="shared" si="0"/>
        <v>31</v>
      </c>
      <c r="F33" s="5">
        <f t="shared" si="1"/>
        <v>32</v>
      </c>
      <c r="G33" s="50">
        <f>IF(E33="","",IF(AND(E33&gt;=$C$4,E33&lt;($C$4+$C$5)), ROUND('Edit Plans'!$I$3,2),0))</f>
        <v>0</v>
      </c>
      <c r="H33" s="50">
        <f>IF(E33 = "", "", IF(AND(E33 &gt;= $C$4, E33 &lt; ($C$4+$C$5)), IF(MOD(E33-$C$4, 2) = 0, ROUND('Edit Plans'!$I$4,2), 0), 0))</f>
        <v>0</v>
      </c>
      <c r="I33" s="50">
        <f>IF(E33 = "", "", IF(AND(E33 &gt;= $C$4, E33 &lt; ($C$4+$C$5)), IF(E33 &lt; ($C$4 + ($C$5/2)), ROUND('Edit Plans'!$M$5,2), ROUND('Edit Plans'!$T$5,2)), 0))</f>
        <v>0</v>
      </c>
      <c r="J33" s="49">
        <f>IF(E33 = "", "", IF(AND(E33 &gt;= $C$4, E33 &lt; ($C$4+$C$5)), ROUND('Edit Plans'!$M$6/$C$5,2), 0))</f>
        <v>0</v>
      </c>
      <c r="K33" s="50">
        <f>IF(E33="","", IF(AND($C$4 &lt;&gt; 0, E33 &gt;= $C$4), ROUND('Edit Plans'!$J$7,2), 0))</f>
        <v>0</v>
      </c>
      <c r="L33" s="50">
        <f>IF(E33="","",IF(AND(E33&gt;=65,E33&lt;=94),ROUND('Edit Plans'!$I$8+(E33-65)*'Edit Plans'!$N$8,2),0))</f>
        <v>0</v>
      </c>
      <c r="M33" s="50">
        <f>IF(E33="","", IF(AND(E33 &gt;= 60, E33 &lt;= 100), ROUND(E33*'Edit Plans'!$J$9,2), 0))</f>
        <v>0</v>
      </c>
    </row>
    <row r="34" spans="5:13" x14ac:dyDescent="0.25">
      <c r="E34" s="5">
        <f t="shared" si="0"/>
        <v>32</v>
      </c>
      <c r="F34" s="5">
        <f t="shared" si="1"/>
        <v>33</v>
      </c>
      <c r="G34" s="50">
        <f>IF(E34="","",IF(AND(E34&gt;=$C$4,E34&lt;($C$4+$C$5)), ROUND('Edit Plans'!$I$3,2),0))</f>
        <v>0</v>
      </c>
      <c r="H34" s="50">
        <f>IF(E34 = "", "", IF(AND(E34 &gt;= $C$4, E34 &lt; ($C$4+$C$5)), IF(MOD(E34-$C$4, 2) = 0, ROUND('Edit Plans'!$I$4,2), 0), 0))</f>
        <v>0</v>
      </c>
      <c r="I34" s="50">
        <f>IF(E34 = "", "", IF(AND(E34 &gt;= $C$4, E34 &lt; ($C$4+$C$5)), IF(E34 &lt; ($C$4 + ($C$5/2)), ROUND('Edit Plans'!$M$5,2), ROUND('Edit Plans'!$T$5,2)), 0))</f>
        <v>0</v>
      </c>
      <c r="J34" s="49">
        <f>IF(E34 = "", "", IF(AND(E34 &gt;= $C$4, E34 &lt; ($C$4+$C$5)), ROUND('Edit Plans'!$M$6/$C$5,2), 0))</f>
        <v>0</v>
      </c>
      <c r="K34" s="50">
        <f>IF(E34="","", IF(AND($C$4 &lt;&gt; 0, E34 &gt;= $C$4), ROUND('Edit Plans'!$J$7,2), 0))</f>
        <v>0</v>
      </c>
      <c r="L34" s="50">
        <f>IF(E34="","",IF(AND(E34&gt;=65,E34&lt;=94),ROUND('Edit Plans'!$I$8+(E34-65)*'Edit Plans'!$N$8,2),0))</f>
        <v>0</v>
      </c>
      <c r="M34" s="50">
        <f>IF(E34="","", IF(AND(E34 &gt;= 60, E34 &lt;= 100), ROUND(E34*'Edit Plans'!$J$9,2), 0))</f>
        <v>0</v>
      </c>
    </row>
    <row r="35" spans="5:13" x14ac:dyDescent="0.25">
      <c r="E35" s="5">
        <f t="shared" ref="E35:E66" si="2">IF(F35="","",E34+1)</f>
        <v>33</v>
      </c>
      <c r="F35" s="5">
        <f t="shared" ref="F35:F66" si="3">IF(F34="","",IF($C$3+F34&lt;=110,F34+1,""))</f>
        <v>34</v>
      </c>
      <c r="G35" s="50">
        <f>IF(E35="","",IF(AND(E35&gt;=$C$4,E35&lt;($C$4+$C$5)), ROUND('Edit Plans'!$I$3,2),0))</f>
        <v>0</v>
      </c>
      <c r="H35" s="50">
        <f>IF(E35 = "", "", IF(AND(E35 &gt;= $C$4, E35 &lt; ($C$4+$C$5)), IF(MOD(E35-$C$4, 2) = 0, ROUND('Edit Plans'!$I$4,2), 0), 0))</f>
        <v>0</v>
      </c>
      <c r="I35" s="50">
        <f>IF(E35 = "", "", IF(AND(E35 &gt;= $C$4, E35 &lt; ($C$4+$C$5)), IF(E35 &lt; ($C$4 + ($C$5/2)), ROUND('Edit Plans'!$M$5,2), ROUND('Edit Plans'!$T$5,2)), 0))</f>
        <v>0</v>
      </c>
      <c r="J35" s="49">
        <f>IF(E35 = "", "", IF(AND(E35 &gt;= $C$4, E35 &lt; ($C$4+$C$5)), ROUND('Edit Plans'!$M$6/$C$5,2), 0))</f>
        <v>0</v>
      </c>
      <c r="K35" s="50">
        <f>IF(E35="","", IF(AND($C$4 &lt;&gt; 0, E35 &gt;= $C$4), ROUND('Edit Plans'!$J$7,2), 0))</f>
        <v>0</v>
      </c>
      <c r="L35" s="50">
        <f>IF(E35="","",IF(AND(E35&gt;=65,E35&lt;=94),ROUND('Edit Plans'!$I$8+(E35-65)*'Edit Plans'!$N$8,2),0))</f>
        <v>0</v>
      </c>
      <c r="M35" s="50">
        <f>IF(E35="","", IF(AND(E35 &gt;= 60, E35 &lt;= 100), ROUND(E35*'Edit Plans'!$J$9,2), 0))</f>
        <v>0</v>
      </c>
    </row>
    <row r="36" spans="5:13" x14ac:dyDescent="0.25">
      <c r="E36" s="5">
        <f t="shared" si="2"/>
        <v>34</v>
      </c>
      <c r="F36" s="5">
        <f t="shared" si="3"/>
        <v>35</v>
      </c>
      <c r="G36" s="50">
        <f>IF(E36="","",IF(AND(E36&gt;=$C$4,E36&lt;($C$4+$C$5)), ROUND('Edit Plans'!$I$3,2),0))</f>
        <v>0</v>
      </c>
      <c r="H36" s="50">
        <f>IF(E36 = "", "", IF(AND(E36 &gt;= $C$4, E36 &lt; ($C$4+$C$5)), IF(MOD(E36-$C$4, 2) = 0, ROUND('Edit Plans'!$I$4,2), 0), 0))</f>
        <v>0</v>
      </c>
      <c r="I36" s="50">
        <f>IF(E36 = "", "", IF(AND(E36 &gt;= $C$4, E36 &lt; ($C$4+$C$5)), IF(E36 &lt; ($C$4 + ($C$5/2)), ROUND('Edit Plans'!$M$5,2), ROUND('Edit Plans'!$T$5,2)), 0))</f>
        <v>0</v>
      </c>
      <c r="J36" s="49">
        <f>IF(E36 = "", "", IF(AND(E36 &gt;= $C$4, E36 &lt; ($C$4+$C$5)), ROUND('Edit Plans'!$M$6/$C$5,2), 0))</f>
        <v>0</v>
      </c>
      <c r="K36" s="50">
        <f>IF(E36="","", IF(AND($C$4 &lt;&gt; 0, E36 &gt;= $C$4), ROUND('Edit Plans'!$J$7,2), 0))</f>
        <v>0</v>
      </c>
      <c r="L36" s="50">
        <f>IF(E36="","",IF(AND(E36&gt;=65,E36&lt;=94),ROUND('Edit Plans'!$I$8+(E36-65)*'Edit Plans'!$N$8,2),0))</f>
        <v>0</v>
      </c>
      <c r="M36" s="50">
        <f>IF(E36="","", IF(AND(E36 &gt;= 60, E36 &lt;= 100), ROUND(E36*'Edit Plans'!$J$9,2), 0))</f>
        <v>0</v>
      </c>
    </row>
    <row r="37" spans="5:13" x14ac:dyDescent="0.25">
      <c r="E37" s="5">
        <f t="shared" si="2"/>
        <v>35</v>
      </c>
      <c r="F37" s="5">
        <f t="shared" si="3"/>
        <v>36</v>
      </c>
      <c r="G37" s="50">
        <f>IF(E37="","",IF(AND(E37&gt;=$C$4,E37&lt;($C$4+$C$5)), ROUND('Edit Plans'!$I$3,2),0))</f>
        <v>0</v>
      </c>
      <c r="H37" s="50">
        <f>IF(E37 = "", "", IF(AND(E37 &gt;= $C$4, E37 &lt; ($C$4+$C$5)), IF(MOD(E37-$C$4, 2) = 0, ROUND('Edit Plans'!$I$4,2), 0), 0))</f>
        <v>0</v>
      </c>
      <c r="I37" s="50">
        <f>IF(E37 = "", "", IF(AND(E37 &gt;= $C$4, E37 &lt; ($C$4+$C$5)), IF(E37 &lt; ($C$4 + ($C$5/2)), ROUND('Edit Plans'!$M$5,2), ROUND('Edit Plans'!$T$5,2)), 0))</f>
        <v>0</v>
      </c>
      <c r="J37" s="49">
        <f>IF(E37 = "", "", IF(AND(E37 &gt;= $C$4, E37 &lt; ($C$4+$C$5)), ROUND('Edit Plans'!$M$6/$C$5,2), 0))</f>
        <v>0</v>
      </c>
      <c r="K37" s="50">
        <f>IF(E37="","", IF(AND($C$4 &lt;&gt; 0, E37 &gt;= $C$4), ROUND('Edit Plans'!$J$7,2), 0))</f>
        <v>0</v>
      </c>
      <c r="L37" s="50">
        <f>IF(E37="","",IF(AND(E37&gt;=65,E37&lt;=94),ROUND('Edit Plans'!$I$8+(E37-65)*'Edit Plans'!$N$8,2),0))</f>
        <v>0</v>
      </c>
      <c r="M37" s="50">
        <f>IF(E37="","", IF(AND(E37 &gt;= 60, E37 &lt;= 100), ROUND(E37*'Edit Plans'!$J$9,2), 0))</f>
        <v>0</v>
      </c>
    </row>
    <row r="38" spans="5:13" x14ac:dyDescent="0.25">
      <c r="E38" s="5">
        <f t="shared" si="2"/>
        <v>36</v>
      </c>
      <c r="F38" s="5">
        <f t="shared" si="3"/>
        <v>37</v>
      </c>
      <c r="G38" s="50">
        <f>IF(E38="","",IF(AND(E38&gt;=$C$4,E38&lt;($C$4+$C$5)), ROUND('Edit Plans'!$I$3,2),0))</f>
        <v>0</v>
      </c>
      <c r="H38" s="50">
        <f>IF(E38 = "", "", IF(AND(E38 &gt;= $C$4, E38 &lt; ($C$4+$C$5)), IF(MOD(E38-$C$4, 2) = 0, ROUND('Edit Plans'!$I$4,2), 0), 0))</f>
        <v>0</v>
      </c>
      <c r="I38" s="50">
        <f>IF(E38 = "", "", IF(AND(E38 &gt;= $C$4, E38 &lt; ($C$4+$C$5)), IF(E38 &lt; ($C$4 + ($C$5/2)), ROUND('Edit Plans'!$M$5,2), ROUND('Edit Plans'!$T$5,2)), 0))</f>
        <v>0</v>
      </c>
      <c r="J38" s="49">
        <f>IF(E38 = "", "", IF(AND(E38 &gt;= $C$4, E38 &lt; ($C$4+$C$5)), ROUND('Edit Plans'!$M$6/$C$5,2), 0))</f>
        <v>0</v>
      </c>
      <c r="K38" s="50">
        <f>IF(E38="","", IF(AND($C$4 &lt;&gt; 0, E38 &gt;= $C$4), ROUND('Edit Plans'!$J$7,2), 0))</f>
        <v>0</v>
      </c>
      <c r="L38" s="50">
        <f>IF(E38="","",IF(AND(E38&gt;=65,E38&lt;=94),ROUND('Edit Plans'!$I$8+(E38-65)*'Edit Plans'!$N$8,2),0))</f>
        <v>0</v>
      </c>
      <c r="M38" s="50">
        <f>IF(E38="","", IF(AND(E38 &gt;= 60, E38 &lt;= 100), ROUND(E38*'Edit Plans'!$J$9,2), 0))</f>
        <v>0</v>
      </c>
    </row>
    <row r="39" spans="5:13" x14ac:dyDescent="0.25">
      <c r="E39" s="5">
        <f t="shared" si="2"/>
        <v>37</v>
      </c>
      <c r="F39" s="5">
        <f t="shared" si="3"/>
        <v>38</v>
      </c>
      <c r="G39" s="50">
        <f>IF(E39="","",IF(AND(E39&gt;=$C$4,E39&lt;($C$4+$C$5)), ROUND('Edit Plans'!$I$3,2),0))</f>
        <v>0</v>
      </c>
      <c r="H39" s="50">
        <f>IF(E39 = "", "", IF(AND(E39 &gt;= $C$4, E39 &lt; ($C$4+$C$5)), IF(MOD(E39-$C$4, 2) = 0, ROUND('Edit Plans'!$I$4,2), 0), 0))</f>
        <v>0</v>
      </c>
      <c r="I39" s="50">
        <f>IF(E39 = "", "", IF(AND(E39 &gt;= $C$4, E39 &lt; ($C$4+$C$5)), IF(E39 &lt; ($C$4 + ($C$5/2)), ROUND('Edit Plans'!$M$5,2), ROUND('Edit Plans'!$T$5,2)), 0))</f>
        <v>0</v>
      </c>
      <c r="J39" s="49">
        <f>IF(E39 = "", "", IF(AND(E39 &gt;= $C$4, E39 &lt; ($C$4+$C$5)), ROUND('Edit Plans'!$M$6/$C$5,2), 0))</f>
        <v>0</v>
      </c>
      <c r="K39" s="50">
        <f>IF(E39="","", IF(AND($C$4 &lt;&gt; 0, E39 &gt;= $C$4), ROUND('Edit Plans'!$J$7,2), 0))</f>
        <v>0</v>
      </c>
      <c r="L39" s="50">
        <f>IF(E39="","",IF(AND(E39&gt;=65,E39&lt;=94),ROUND('Edit Plans'!$I$8+(E39-65)*'Edit Plans'!$N$8,2),0))</f>
        <v>0</v>
      </c>
      <c r="M39" s="50">
        <f>IF(E39="","", IF(AND(E39 &gt;= 60, E39 &lt;= 100), ROUND(E39*'Edit Plans'!$J$9,2), 0))</f>
        <v>0</v>
      </c>
    </row>
    <row r="40" spans="5:13" x14ac:dyDescent="0.25">
      <c r="E40" s="5">
        <f t="shared" si="2"/>
        <v>38</v>
      </c>
      <c r="F40" s="5">
        <f t="shared" si="3"/>
        <v>39</v>
      </c>
      <c r="G40" s="50">
        <f>IF(E40="","",IF(AND(E40&gt;=$C$4,E40&lt;($C$4+$C$5)), ROUND('Edit Plans'!$I$3,2),0))</f>
        <v>0</v>
      </c>
      <c r="H40" s="50">
        <f>IF(E40 = "", "", IF(AND(E40 &gt;= $C$4, E40 &lt; ($C$4+$C$5)), IF(MOD(E40-$C$4, 2) = 0, ROUND('Edit Plans'!$I$4,2), 0), 0))</f>
        <v>0</v>
      </c>
      <c r="I40" s="50">
        <f>IF(E40 = "", "", IF(AND(E40 &gt;= $C$4, E40 &lt; ($C$4+$C$5)), IF(E40 &lt; ($C$4 + ($C$5/2)), ROUND('Edit Plans'!$M$5,2), ROUND('Edit Plans'!$T$5,2)), 0))</f>
        <v>0</v>
      </c>
      <c r="J40" s="49">
        <f>IF(E40 = "", "", IF(AND(E40 &gt;= $C$4, E40 &lt; ($C$4+$C$5)), ROUND('Edit Plans'!$M$6/$C$5,2), 0))</f>
        <v>0</v>
      </c>
      <c r="K40" s="50">
        <f>IF(E40="","", IF(AND($C$4 &lt;&gt; 0, E40 &gt;= $C$4), ROUND('Edit Plans'!$J$7,2), 0))</f>
        <v>0</v>
      </c>
      <c r="L40" s="50">
        <f>IF(E40="","",IF(AND(E40&gt;=65,E40&lt;=94),ROUND('Edit Plans'!$I$8+(E40-65)*'Edit Plans'!$N$8,2),0))</f>
        <v>0</v>
      </c>
      <c r="M40" s="50">
        <f>IF(E40="","", IF(AND(E40 &gt;= 60, E40 &lt;= 100), ROUND(E40*'Edit Plans'!$J$9,2), 0))</f>
        <v>0</v>
      </c>
    </row>
    <row r="41" spans="5:13" x14ac:dyDescent="0.25">
      <c r="E41" s="5">
        <f t="shared" si="2"/>
        <v>39</v>
      </c>
      <c r="F41" s="5">
        <f t="shared" si="3"/>
        <v>40</v>
      </c>
      <c r="G41" s="50">
        <f>IF(E41="","",IF(AND(E41&gt;=$C$4,E41&lt;($C$4+$C$5)), ROUND('Edit Plans'!$I$3,2),0))</f>
        <v>0</v>
      </c>
      <c r="H41" s="50">
        <f>IF(E41 = "", "", IF(AND(E41 &gt;= $C$4, E41 &lt; ($C$4+$C$5)), IF(MOD(E41-$C$4, 2) = 0, ROUND('Edit Plans'!$I$4,2), 0), 0))</f>
        <v>0</v>
      </c>
      <c r="I41" s="50">
        <f>IF(E41 = "", "", IF(AND(E41 &gt;= $C$4, E41 &lt; ($C$4+$C$5)), IF(E41 &lt; ($C$4 + ($C$5/2)), ROUND('Edit Plans'!$M$5,2), ROUND('Edit Plans'!$T$5,2)), 0))</f>
        <v>0</v>
      </c>
      <c r="J41" s="49">
        <f>IF(E41 = "", "", IF(AND(E41 &gt;= $C$4, E41 &lt; ($C$4+$C$5)), ROUND('Edit Plans'!$M$6/$C$5,2), 0))</f>
        <v>0</v>
      </c>
      <c r="K41" s="50">
        <f>IF(E41="","", IF(AND($C$4 &lt;&gt; 0, E41 &gt;= $C$4), ROUND('Edit Plans'!$J$7,2), 0))</f>
        <v>0</v>
      </c>
      <c r="L41" s="50">
        <f>IF(E41="","",IF(AND(E41&gt;=65,E41&lt;=94),ROUND('Edit Plans'!$I$8+(E41-65)*'Edit Plans'!$N$8,2),0))</f>
        <v>0</v>
      </c>
      <c r="M41" s="50">
        <f>IF(E41="","", IF(AND(E41 &gt;= 60, E41 &lt;= 100), ROUND(E41*'Edit Plans'!$J$9,2), 0))</f>
        <v>0</v>
      </c>
    </row>
    <row r="42" spans="5:13" x14ac:dyDescent="0.25">
      <c r="E42" s="5">
        <f t="shared" si="2"/>
        <v>40</v>
      </c>
      <c r="F42" s="5">
        <f t="shared" si="3"/>
        <v>41</v>
      </c>
      <c r="G42" s="50">
        <f>IF(E42="","",IF(AND(E42&gt;=$C$4,E42&lt;($C$4+$C$5)), ROUND('Edit Plans'!$I$3,2),0))</f>
        <v>0</v>
      </c>
      <c r="H42" s="50">
        <f>IF(E42 = "", "", IF(AND(E42 &gt;= $C$4, E42 &lt; ($C$4+$C$5)), IF(MOD(E42-$C$4, 2) = 0, ROUND('Edit Plans'!$I$4,2), 0), 0))</f>
        <v>0</v>
      </c>
      <c r="I42" s="50">
        <f>IF(E42 = "", "", IF(AND(E42 &gt;= $C$4, E42 &lt; ($C$4+$C$5)), IF(E42 &lt; ($C$4 + ($C$5/2)), ROUND('Edit Plans'!$M$5,2), ROUND('Edit Plans'!$T$5,2)), 0))</f>
        <v>0</v>
      </c>
      <c r="J42" s="49">
        <f>IF(E42 = "", "", IF(AND(E42 &gt;= $C$4, E42 &lt; ($C$4+$C$5)), ROUND('Edit Plans'!$M$6/$C$5,2), 0))</f>
        <v>0</v>
      </c>
      <c r="K42" s="50">
        <f>IF(E42="","", IF(AND($C$4 &lt;&gt; 0, E42 &gt;= $C$4), ROUND('Edit Plans'!$J$7,2), 0))</f>
        <v>0</v>
      </c>
      <c r="L42" s="50">
        <f>IF(E42="","",IF(AND(E42&gt;=65,E42&lt;=94),ROUND('Edit Plans'!$I$8+(E42-65)*'Edit Plans'!$N$8,2),0))</f>
        <v>0</v>
      </c>
      <c r="M42" s="50">
        <f>IF(E42="","", IF(AND(E42 &gt;= 60, E42 &lt;= 100), ROUND(E42*'Edit Plans'!$J$9,2), 0))</f>
        <v>0</v>
      </c>
    </row>
    <row r="43" spans="5:13" x14ac:dyDescent="0.25">
      <c r="E43" s="5">
        <f t="shared" si="2"/>
        <v>41</v>
      </c>
      <c r="F43" s="5">
        <f t="shared" si="3"/>
        <v>42</v>
      </c>
      <c r="G43" s="50">
        <f>IF(E43="","",IF(AND(E43&gt;=$C$4,E43&lt;($C$4+$C$5)), ROUND('Edit Plans'!$I$3,2),0))</f>
        <v>0</v>
      </c>
      <c r="H43" s="50">
        <f>IF(E43 = "", "", IF(AND(E43 &gt;= $C$4, E43 &lt; ($C$4+$C$5)), IF(MOD(E43-$C$4, 2) = 0, ROUND('Edit Plans'!$I$4,2), 0), 0))</f>
        <v>0</v>
      </c>
      <c r="I43" s="50">
        <f>IF(E43 = "", "", IF(AND(E43 &gt;= $C$4, E43 &lt; ($C$4+$C$5)), IF(E43 &lt; ($C$4 + ($C$5/2)), ROUND('Edit Plans'!$M$5,2), ROUND('Edit Plans'!$T$5,2)), 0))</f>
        <v>0</v>
      </c>
      <c r="J43" s="49">
        <f>IF(E43 = "", "", IF(AND(E43 &gt;= $C$4, E43 &lt; ($C$4+$C$5)), ROUND('Edit Plans'!$M$6/$C$5,2), 0))</f>
        <v>0</v>
      </c>
      <c r="K43" s="50">
        <f>IF(E43="","", IF(AND($C$4 &lt;&gt; 0, E43 &gt;= $C$4), ROUND('Edit Plans'!$J$7,2), 0))</f>
        <v>0</v>
      </c>
      <c r="L43" s="50">
        <f>IF(E43="","",IF(AND(E43&gt;=65,E43&lt;=94),ROUND('Edit Plans'!$I$8+(E43-65)*'Edit Plans'!$N$8,2),0))</f>
        <v>0</v>
      </c>
      <c r="M43" s="50">
        <f>IF(E43="","", IF(AND(E43 &gt;= 60, E43 &lt;= 100), ROUND(E43*'Edit Plans'!$J$9,2), 0))</f>
        <v>0</v>
      </c>
    </row>
    <row r="44" spans="5:13" x14ac:dyDescent="0.25">
      <c r="E44" s="5">
        <f t="shared" si="2"/>
        <v>42</v>
      </c>
      <c r="F44" s="5">
        <f t="shared" si="3"/>
        <v>43</v>
      </c>
      <c r="G44" s="50">
        <f>IF(E44="","",IF(AND(E44&gt;=$C$4,E44&lt;($C$4+$C$5)), ROUND('Edit Plans'!$I$3,2),0))</f>
        <v>0</v>
      </c>
      <c r="H44" s="50">
        <f>IF(E44 = "", "", IF(AND(E44 &gt;= $C$4, E44 &lt; ($C$4+$C$5)), IF(MOD(E44-$C$4, 2) = 0, ROUND('Edit Plans'!$I$4,2), 0), 0))</f>
        <v>0</v>
      </c>
      <c r="I44" s="50">
        <f>IF(E44 = "", "", IF(AND(E44 &gt;= $C$4, E44 &lt; ($C$4+$C$5)), IF(E44 &lt; ($C$4 + ($C$5/2)), ROUND('Edit Plans'!$M$5,2), ROUND('Edit Plans'!$T$5,2)), 0))</f>
        <v>0</v>
      </c>
      <c r="J44" s="49">
        <f>IF(E44 = "", "", IF(AND(E44 &gt;= $C$4, E44 &lt; ($C$4+$C$5)), ROUND('Edit Plans'!$M$6/$C$5,2), 0))</f>
        <v>0</v>
      </c>
      <c r="K44" s="50">
        <f>IF(E44="","", IF(AND($C$4 &lt;&gt; 0, E44 &gt;= $C$4), ROUND('Edit Plans'!$J$7,2), 0))</f>
        <v>0</v>
      </c>
      <c r="L44" s="50">
        <f>IF(E44="","",IF(AND(E44&gt;=65,E44&lt;=94),ROUND('Edit Plans'!$I$8+(E44-65)*'Edit Plans'!$N$8,2),0))</f>
        <v>0</v>
      </c>
      <c r="M44" s="50">
        <f>IF(E44="","", IF(AND(E44 &gt;= 60, E44 &lt;= 100), ROUND(E44*'Edit Plans'!$J$9,2), 0))</f>
        <v>0</v>
      </c>
    </row>
    <row r="45" spans="5:13" x14ac:dyDescent="0.25">
      <c r="E45" s="5">
        <f t="shared" si="2"/>
        <v>43</v>
      </c>
      <c r="F45" s="5">
        <f t="shared" si="3"/>
        <v>44</v>
      </c>
      <c r="G45" s="50">
        <f>IF(E45="","",IF(AND(E45&gt;=$C$4,E45&lt;($C$4+$C$5)), ROUND('Edit Plans'!$I$3,2),0))</f>
        <v>0</v>
      </c>
      <c r="H45" s="50">
        <f>IF(E45 = "", "", IF(AND(E45 &gt;= $C$4, E45 &lt; ($C$4+$C$5)), IF(MOD(E45-$C$4, 2) = 0, ROUND('Edit Plans'!$I$4,2), 0), 0))</f>
        <v>0</v>
      </c>
      <c r="I45" s="50">
        <f>IF(E45 = "", "", IF(AND(E45 &gt;= $C$4, E45 &lt; ($C$4+$C$5)), IF(E45 &lt; ($C$4 + ($C$5/2)), ROUND('Edit Plans'!$M$5,2), ROUND('Edit Plans'!$T$5,2)), 0))</f>
        <v>0</v>
      </c>
      <c r="J45" s="49">
        <f>IF(E45 = "", "", IF(AND(E45 &gt;= $C$4, E45 &lt; ($C$4+$C$5)), ROUND('Edit Plans'!$M$6/$C$5,2), 0))</f>
        <v>0</v>
      </c>
      <c r="K45" s="50">
        <f>IF(E45="","", IF(AND($C$4 &lt;&gt; 0, E45 &gt;= $C$4), ROUND('Edit Plans'!$J$7,2), 0))</f>
        <v>0</v>
      </c>
      <c r="L45" s="50">
        <f>IF(E45="","",IF(AND(E45&gt;=65,E45&lt;=94),ROUND('Edit Plans'!$I$8+(E45-65)*'Edit Plans'!$N$8,2),0))</f>
        <v>0</v>
      </c>
      <c r="M45" s="50">
        <f>IF(E45="","", IF(AND(E45 &gt;= 60, E45 &lt;= 100), ROUND(E45*'Edit Plans'!$J$9,2), 0))</f>
        <v>0</v>
      </c>
    </row>
    <row r="46" spans="5:13" x14ac:dyDescent="0.25">
      <c r="E46" s="5">
        <f t="shared" si="2"/>
        <v>44</v>
      </c>
      <c r="F46" s="5">
        <f t="shared" si="3"/>
        <v>45</v>
      </c>
      <c r="G46" s="50">
        <f>IF(E46="","",IF(AND(E46&gt;=$C$4,E46&lt;($C$4+$C$5)), ROUND('Edit Plans'!$I$3,2),0))</f>
        <v>0</v>
      </c>
      <c r="H46" s="50">
        <f>IF(E46 = "", "", IF(AND(E46 &gt;= $C$4, E46 &lt; ($C$4+$C$5)), IF(MOD(E46-$C$4, 2) = 0, ROUND('Edit Plans'!$I$4,2), 0), 0))</f>
        <v>0</v>
      </c>
      <c r="I46" s="50">
        <f>IF(E46 = "", "", IF(AND(E46 &gt;= $C$4, E46 &lt; ($C$4+$C$5)), IF(E46 &lt; ($C$4 + ($C$5/2)), ROUND('Edit Plans'!$M$5,2), ROUND('Edit Plans'!$T$5,2)), 0))</f>
        <v>0</v>
      </c>
      <c r="J46" s="49">
        <f>IF(E46 = "", "", IF(AND(E46 &gt;= $C$4, E46 &lt; ($C$4+$C$5)), ROUND('Edit Plans'!$M$6/$C$5,2), 0))</f>
        <v>0</v>
      </c>
      <c r="K46" s="50">
        <f>IF(E46="","", IF(AND($C$4 &lt;&gt; 0, E46 &gt;= $C$4), ROUND('Edit Plans'!$J$7,2), 0))</f>
        <v>0</v>
      </c>
      <c r="L46" s="50">
        <f>IF(E46="","",IF(AND(E46&gt;=65,E46&lt;=94),ROUND('Edit Plans'!$I$8+(E46-65)*'Edit Plans'!$N$8,2),0))</f>
        <v>0</v>
      </c>
      <c r="M46" s="50">
        <f>IF(E46="","", IF(AND(E46 &gt;= 60, E46 &lt;= 100), ROUND(E46*'Edit Plans'!$J$9,2), 0))</f>
        <v>0</v>
      </c>
    </row>
    <row r="47" spans="5:13" x14ac:dyDescent="0.25">
      <c r="E47" s="5">
        <f t="shared" si="2"/>
        <v>45</v>
      </c>
      <c r="F47" s="5">
        <f t="shared" si="3"/>
        <v>46</v>
      </c>
      <c r="G47" s="50">
        <f>IF(E47="","",IF(AND(E47&gt;=$C$4,E47&lt;($C$4+$C$5)), ROUND('Edit Plans'!$I$3,2),0))</f>
        <v>0</v>
      </c>
      <c r="H47" s="50">
        <f>IF(E47 = "", "", IF(AND(E47 &gt;= $C$4, E47 &lt; ($C$4+$C$5)), IF(MOD(E47-$C$4, 2) = 0, ROUND('Edit Plans'!$I$4,2), 0), 0))</f>
        <v>0</v>
      </c>
      <c r="I47" s="50">
        <f>IF(E47 = "", "", IF(AND(E47 &gt;= $C$4, E47 &lt; ($C$4+$C$5)), IF(E47 &lt; ($C$4 + ($C$5/2)), ROUND('Edit Plans'!$M$5,2), ROUND('Edit Plans'!$T$5,2)), 0))</f>
        <v>0</v>
      </c>
      <c r="J47" s="49">
        <f>IF(E47 = "", "", IF(AND(E47 &gt;= $C$4, E47 &lt; ($C$4+$C$5)), ROUND('Edit Plans'!$M$6/$C$5,2), 0))</f>
        <v>0</v>
      </c>
      <c r="K47" s="50">
        <f>IF(E47="","", IF(AND($C$4 &lt;&gt; 0, E47 &gt;= $C$4), ROUND('Edit Plans'!$J$7,2), 0))</f>
        <v>0</v>
      </c>
      <c r="L47" s="50">
        <f>IF(E47="","",IF(AND(E47&gt;=65,E47&lt;=94),ROUND('Edit Plans'!$I$8+(E47-65)*'Edit Plans'!$N$8,2),0))</f>
        <v>0</v>
      </c>
      <c r="M47" s="50">
        <f>IF(E47="","", IF(AND(E47 &gt;= 60, E47 &lt;= 100), ROUND(E47*'Edit Plans'!$J$9,2), 0))</f>
        <v>0</v>
      </c>
    </row>
    <row r="48" spans="5:13" x14ac:dyDescent="0.25">
      <c r="E48" s="5">
        <f t="shared" si="2"/>
        <v>46</v>
      </c>
      <c r="F48" s="5">
        <f t="shared" si="3"/>
        <v>47</v>
      </c>
      <c r="G48" s="50">
        <f>IF(E48="","",IF(AND(E48&gt;=$C$4,E48&lt;($C$4+$C$5)), ROUND('Edit Plans'!$I$3,2),0))</f>
        <v>0</v>
      </c>
      <c r="H48" s="50">
        <f>IF(E48 = "", "", IF(AND(E48 &gt;= $C$4, E48 &lt; ($C$4+$C$5)), IF(MOD(E48-$C$4, 2) = 0, ROUND('Edit Plans'!$I$4,2), 0), 0))</f>
        <v>0</v>
      </c>
      <c r="I48" s="50">
        <f>IF(E48 = "", "", IF(AND(E48 &gt;= $C$4, E48 &lt; ($C$4+$C$5)), IF(E48 &lt; ($C$4 + ($C$5/2)), ROUND('Edit Plans'!$M$5,2), ROUND('Edit Plans'!$T$5,2)), 0))</f>
        <v>0</v>
      </c>
      <c r="J48" s="49">
        <f>IF(E48 = "", "", IF(AND(E48 &gt;= $C$4, E48 &lt; ($C$4+$C$5)), ROUND('Edit Plans'!$M$6/$C$5,2), 0))</f>
        <v>0</v>
      </c>
      <c r="K48" s="50">
        <f>IF(E48="","", IF(AND($C$4 &lt;&gt; 0, E48 &gt;= $C$4), ROUND('Edit Plans'!$J$7,2), 0))</f>
        <v>0</v>
      </c>
      <c r="L48" s="50">
        <f>IF(E48="","",IF(AND(E48&gt;=65,E48&lt;=94),ROUND('Edit Plans'!$I$8+(E48-65)*'Edit Plans'!$N$8,2),0))</f>
        <v>0</v>
      </c>
      <c r="M48" s="50">
        <f>IF(E48="","", IF(AND(E48 &gt;= 60, E48 &lt;= 100), ROUND(E48*'Edit Plans'!$J$9,2), 0))</f>
        <v>0</v>
      </c>
    </row>
    <row r="49" spans="5:13" x14ac:dyDescent="0.25">
      <c r="E49" s="5">
        <f t="shared" si="2"/>
        <v>47</v>
      </c>
      <c r="F49" s="5">
        <f t="shared" si="3"/>
        <v>48</v>
      </c>
      <c r="G49" s="50">
        <f>IF(E49="","",IF(AND(E49&gt;=$C$4,E49&lt;($C$4+$C$5)), ROUND('Edit Plans'!$I$3,2),0))</f>
        <v>0</v>
      </c>
      <c r="H49" s="50">
        <f>IF(E49 = "", "", IF(AND(E49 &gt;= $C$4, E49 &lt; ($C$4+$C$5)), IF(MOD(E49-$C$4, 2) = 0, ROUND('Edit Plans'!$I$4,2), 0), 0))</f>
        <v>0</v>
      </c>
      <c r="I49" s="50">
        <f>IF(E49 = "", "", IF(AND(E49 &gt;= $C$4, E49 &lt; ($C$4+$C$5)), IF(E49 &lt; ($C$4 + ($C$5/2)), ROUND('Edit Plans'!$M$5,2), ROUND('Edit Plans'!$T$5,2)), 0))</f>
        <v>0</v>
      </c>
      <c r="J49" s="49">
        <f>IF(E49 = "", "", IF(AND(E49 &gt;= $C$4, E49 &lt; ($C$4+$C$5)), ROUND('Edit Plans'!$M$6/$C$5,2), 0))</f>
        <v>0</v>
      </c>
      <c r="K49" s="50">
        <f>IF(E49="","", IF(AND($C$4 &lt;&gt; 0, E49 &gt;= $C$4), ROUND('Edit Plans'!$J$7,2), 0))</f>
        <v>0</v>
      </c>
      <c r="L49" s="50">
        <f>IF(E49="","",IF(AND(E49&gt;=65,E49&lt;=94),ROUND('Edit Plans'!$I$8+(E49-65)*'Edit Plans'!$N$8,2),0))</f>
        <v>0</v>
      </c>
      <c r="M49" s="50">
        <f>IF(E49="","", IF(AND(E49 &gt;= 60, E49 &lt;= 100), ROUND(E49*'Edit Plans'!$J$9,2), 0))</f>
        <v>0</v>
      </c>
    </row>
    <row r="50" spans="5:13" x14ac:dyDescent="0.25">
      <c r="E50" s="5">
        <f t="shared" si="2"/>
        <v>48</v>
      </c>
      <c r="F50" s="5">
        <f t="shared" si="3"/>
        <v>49</v>
      </c>
      <c r="G50" s="50">
        <f>IF(E50="","",IF(AND(E50&gt;=$C$4,E50&lt;($C$4+$C$5)), ROUND('Edit Plans'!$I$3,2),0))</f>
        <v>0</v>
      </c>
      <c r="H50" s="50">
        <f>IF(E50 = "", "", IF(AND(E50 &gt;= $C$4, E50 &lt; ($C$4+$C$5)), IF(MOD(E50-$C$4, 2) = 0, ROUND('Edit Plans'!$I$4,2), 0), 0))</f>
        <v>0</v>
      </c>
      <c r="I50" s="50">
        <f>IF(E50 = "", "", IF(AND(E50 &gt;= $C$4, E50 &lt; ($C$4+$C$5)), IF(E50 &lt; ($C$4 + ($C$5/2)), ROUND('Edit Plans'!$M$5,2), ROUND('Edit Plans'!$T$5,2)), 0))</f>
        <v>0</v>
      </c>
      <c r="J50" s="49">
        <f>IF(E50 = "", "", IF(AND(E50 &gt;= $C$4, E50 &lt; ($C$4+$C$5)), ROUND('Edit Plans'!$M$6/$C$5,2), 0))</f>
        <v>0</v>
      </c>
      <c r="K50" s="50">
        <f>IF(E50="","", IF(AND($C$4 &lt;&gt; 0, E50 &gt;= $C$4), ROUND('Edit Plans'!$J$7,2), 0))</f>
        <v>0</v>
      </c>
      <c r="L50" s="50">
        <f>IF(E50="","",IF(AND(E50&gt;=65,E50&lt;=94),ROUND('Edit Plans'!$I$8+(E50-65)*'Edit Plans'!$N$8,2),0))</f>
        <v>0</v>
      </c>
      <c r="M50" s="50">
        <f>IF(E50="","", IF(AND(E50 &gt;= 60, E50 &lt;= 100), ROUND(E50*'Edit Plans'!$J$9,2), 0))</f>
        <v>0</v>
      </c>
    </row>
    <row r="51" spans="5:13" x14ac:dyDescent="0.25">
      <c r="E51" s="5">
        <f t="shared" si="2"/>
        <v>49</v>
      </c>
      <c r="F51" s="5">
        <f t="shared" si="3"/>
        <v>50</v>
      </c>
      <c r="G51" s="50">
        <f>IF(E51="","",IF(AND(E51&gt;=$C$4,E51&lt;($C$4+$C$5)), ROUND('Edit Plans'!$I$3,2),0))</f>
        <v>0</v>
      </c>
      <c r="H51" s="50">
        <f>IF(E51 = "", "", IF(AND(E51 &gt;= $C$4, E51 &lt; ($C$4+$C$5)), IF(MOD(E51-$C$4, 2) = 0, ROUND('Edit Plans'!$I$4,2), 0), 0))</f>
        <v>0</v>
      </c>
      <c r="I51" s="50">
        <f>IF(E51 = "", "", IF(AND(E51 &gt;= $C$4, E51 &lt; ($C$4+$C$5)), IF(E51 &lt; ($C$4 + ($C$5/2)), ROUND('Edit Plans'!$M$5,2), ROUND('Edit Plans'!$T$5,2)), 0))</f>
        <v>0</v>
      </c>
      <c r="J51" s="49">
        <f>IF(E51 = "", "", IF(AND(E51 &gt;= $C$4, E51 &lt; ($C$4+$C$5)), ROUND('Edit Plans'!$M$6/$C$5,2), 0))</f>
        <v>0</v>
      </c>
      <c r="K51" s="50">
        <f>IF(E51="","", IF(AND($C$4 &lt;&gt; 0, E51 &gt;= $C$4), ROUND('Edit Plans'!$J$7,2), 0))</f>
        <v>0</v>
      </c>
      <c r="L51" s="50">
        <f>IF(E51="","",IF(AND(E51&gt;=65,E51&lt;=94),ROUND('Edit Plans'!$I$8+(E51-65)*'Edit Plans'!$N$8,2),0))</f>
        <v>0</v>
      </c>
      <c r="M51" s="50">
        <f>IF(E51="","", IF(AND(E51 &gt;= 60, E51 &lt;= 100), ROUND(E51*'Edit Plans'!$J$9,2), 0))</f>
        <v>0</v>
      </c>
    </row>
    <row r="52" spans="5:13" x14ac:dyDescent="0.25">
      <c r="E52" s="5">
        <f t="shared" si="2"/>
        <v>50</v>
      </c>
      <c r="F52" s="5">
        <f t="shared" si="3"/>
        <v>51</v>
      </c>
      <c r="G52" s="50">
        <f>IF(E52="","",IF(AND(E52&gt;=$C$4,E52&lt;($C$4+$C$5)), ROUND('Edit Plans'!$I$3,2),0))</f>
        <v>0</v>
      </c>
      <c r="H52" s="50">
        <f>IF(E52 = "", "", IF(AND(E52 &gt;= $C$4, E52 &lt; ($C$4+$C$5)), IF(MOD(E52-$C$4, 2) = 0, ROUND('Edit Plans'!$I$4,2), 0), 0))</f>
        <v>0</v>
      </c>
      <c r="I52" s="50">
        <f>IF(E52 = "", "", IF(AND(E52 &gt;= $C$4, E52 &lt; ($C$4+$C$5)), IF(E52 &lt; ($C$4 + ($C$5/2)), ROUND('Edit Plans'!$M$5,2), ROUND('Edit Plans'!$T$5,2)), 0))</f>
        <v>0</v>
      </c>
      <c r="J52" s="49">
        <f>IF(E52 = "", "", IF(AND(E52 &gt;= $C$4, E52 &lt; ($C$4+$C$5)), ROUND('Edit Plans'!$M$6/$C$5,2), 0))</f>
        <v>0</v>
      </c>
      <c r="K52" s="50">
        <f>IF(E52="","", IF(AND($C$4 &lt;&gt; 0, E52 &gt;= $C$4), ROUND('Edit Plans'!$J$7,2), 0))</f>
        <v>0</v>
      </c>
      <c r="L52" s="50">
        <f>IF(E52="","",IF(AND(E52&gt;=65,E52&lt;=94),ROUND('Edit Plans'!$I$8+(E52-65)*'Edit Plans'!$N$8,2),0))</f>
        <v>0</v>
      </c>
      <c r="M52" s="50">
        <f>IF(E52="","", IF(AND(E52 &gt;= 60, E52 &lt;= 100), ROUND(E52*'Edit Plans'!$J$9,2), 0))</f>
        <v>0</v>
      </c>
    </row>
    <row r="53" spans="5:13" x14ac:dyDescent="0.25">
      <c r="E53" s="5">
        <f t="shared" si="2"/>
        <v>51</v>
      </c>
      <c r="F53" s="5">
        <f t="shared" si="3"/>
        <v>52</v>
      </c>
      <c r="G53" s="50">
        <f>IF(E53="","",IF(AND(E53&gt;=$C$4,E53&lt;($C$4+$C$5)), ROUND('Edit Plans'!$I$3,2),0))</f>
        <v>0</v>
      </c>
      <c r="H53" s="50">
        <f>IF(E53 = "", "", IF(AND(E53 &gt;= $C$4, E53 &lt; ($C$4+$C$5)), IF(MOD(E53-$C$4, 2) = 0, ROUND('Edit Plans'!$I$4,2), 0), 0))</f>
        <v>0</v>
      </c>
      <c r="I53" s="50">
        <f>IF(E53 = "", "", IF(AND(E53 &gt;= $C$4, E53 &lt; ($C$4+$C$5)), IF(E53 &lt; ($C$4 + ($C$5/2)), ROUND('Edit Plans'!$M$5,2), ROUND('Edit Plans'!$T$5,2)), 0))</f>
        <v>0</v>
      </c>
      <c r="J53" s="49">
        <f>IF(E53 = "", "", IF(AND(E53 &gt;= $C$4, E53 &lt; ($C$4+$C$5)), ROUND('Edit Plans'!$M$6/$C$5,2), 0))</f>
        <v>0</v>
      </c>
      <c r="K53" s="50">
        <f>IF(E53="","", IF(AND($C$4 &lt;&gt; 0, E53 &gt;= $C$4), ROUND('Edit Plans'!$J$7,2), 0))</f>
        <v>0</v>
      </c>
      <c r="L53" s="50">
        <f>IF(E53="","",IF(AND(E53&gt;=65,E53&lt;=94),ROUND('Edit Plans'!$I$8+(E53-65)*'Edit Plans'!$N$8,2),0))</f>
        <v>0</v>
      </c>
      <c r="M53" s="50">
        <f>IF(E53="","", IF(AND(E53 &gt;= 60, E53 &lt;= 100), ROUND(E53*'Edit Plans'!$J$9,2), 0))</f>
        <v>0</v>
      </c>
    </row>
    <row r="54" spans="5:13" x14ac:dyDescent="0.25">
      <c r="E54" s="5">
        <f t="shared" si="2"/>
        <v>52</v>
      </c>
      <c r="F54" s="5">
        <f t="shared" si="3"/>
        <v>53</v>
      </c>
      <c r="G54" s="50">
        <f>IF(E54="","",IF(AND(E54&gt;=$C$4,E54&lt;($C$4+$C$5)), ROUND('Edit Plans'!$I$3,2),0))</f>
        <v>0</v>
      </c>
      <c r="H54" s="50">
        <f>IF(E54 = "", "", IF(AND(E54 &gt;= $C$4, E54 &lt; ($C$4+$C$5)), IF(MOD(E54-$C$4, 2) = 0, ROUND('Edit Plans'!$I$4,2), 0), 0))</f>
        <v>0</v>
      </c>
      <c r="I54" s="50">
        <f>IF(E54 = "", "", IF(AND(E54 &gt;= $C$4, E54 &lt; ($C$4+$C$5)), IF(E54 &lt; ($C$4 + ($C$5/2)), ROUND('Edit Plans'!$M$5,2), ROUND('Edit Plans'!$T$5,2)), 0))</f>
        <v>0</v>
      </c>
      <c r="J54" s="49">
        <f>IF(E54 = "", "", IF(AND(E54 &gt;= $C$4, E54 &lt; ($C$4+$C$5)), ROUND('Edit Plans'!$M$6/$C$5,2), 0))</f>
        <v>0</v>
      </c>
      <c r="K54" s="50">
        <f>IF(E54="","", IF(AND($C$4 &lt;&gt; 0, E54 &gt;= $C$4), ROUND('Edit Plans'!$J$7,2), 0))</f>
        <v>0</v>
      </c>
      <c r="L54" s="50">
        <f>IF(E54="","",IF(AND(E54&gt;=65,E54&lt;=94),ROUND('Edit Plans'!$I$8+(E54-65)*'Edit Plans'!$N$8,2),0))</f>
        <v>0</v>
      </c>
      <c r="M54" s="50">
        <f>IF(E54="","", IF(AND(E54 &gt;= 60, E54 &lt;= 100), ROUND(E54*'Edit Plans'!$J$9,2), 0))</f>
        <v>0</v>
      </c>
    </row>
    <row r="55" spans="5:13" x14ac:dyDescent="0.25">
      <c r="E55" s="5">
        <f t="shared" si="2"/>
        <v>53</v>
      </c>
      <c r="F55" s="5">
        <f t="shared" si="3"/>
        <v>54</v>
      </c>
      <c r="G55" s="50">
        <f>IF(E55="","",IF(AND(E55&gt;=$C$4,E55&lt;($C$4+$C$5)), ROUND('Edit Plans'!$I$3,2),0))</f>
        <v>0</v>
      </c>
      <c r="H55" s="50">
        <f>IF(E55 = "", "", IF(AND(E55 &gt;= $C$4, E55 &lt; ($C$4+$C$5)), IF(MOD(E55-$C$4, 2) = 0, ROUND('Edit Plans'!$I$4,2), 0), 0))</f>
        <v>0</v>
      </c>
      <c r="I55" s="50">
        <f>IF(E55 = "", "", IF(AND(E55 &gt;= $C$4, E55 &lt; ($C$4+$C$5)), IF(E55 &lt; ($C$4 + ($C$5/2)), ROUND('Edit Plans'!$M$5,2), ROUND('Edit Plans'!$T$5,2)), 0))</f>
        <v>0</v>
      </c>
      <c r="J55" s="49">
        <f>IF(E55 = "", "", IF(AND(E55 &gt;= $C$4, E55 &lt; ($C$4+$C$5)), ROUND('Edit Plans'!$M$6/$C$5,2), 0))</f>
        <v>0</v>
      </c>
      <c r="K55" s="50">
        <f>IF(E55="","", IF(AND($C$4 &lt;&gt; 0, E55 &gt;= $C$4), ROUND('Edit Plans'!$J$7,2), 0))</f>
        <v>0</v>
      </c>
      <c r="L55" s="50">
        <f>IF(E55="","",IF(AND(E55&gt;=65,E55&lt;=94),ROUND('Edit Plans'!$I$8+(E55-65)*'Edit Plans'!$N$8,2),0))</f>
        <v>0</v>
      </c>
      <c r="M55" s="50">
        <f>IF(E55="","", IF(AND(E55 &gt;= 60, E55 &lt;= 100), ROUND(E55*'Edit Plans'!$J$9,2), 0))</f>
        <v>0</v>
      </c>
    </row>
    <row r="56" spans="5:13" x14ac:dyDescent="0.25">
      <c r="E56" s="5">
        <f t="shared" si="2"/>
        <v>54</v>
      </c>
      <c r="F56" s="5">
        <f t="shared" si="3"/>
        <v>55</v>
      </c>
      <c r="G56" s="50">
        <f>IF(E56="","",IF(AND(E56&gt;=$C$4,E56&lt;($C$4+$C$5)), ROUND('Edit Plans'!$I$3,2),0))</f>
        <v>0</v>
      </c>
      <c r="H56" s="50">
        <f>IF(E56 = "", "", IF(AND(E56 &gt;= $C$4, E56 &lt; ($C$4+$C$5)), IF(MOD(E56-$C$4, 2) = 0, ROUND('Edit Plans'!$I$4,2), 0), 0))</f>
        <v>0</v>
      </c>
      <c r="I56" s="50">
        <f>IF(E56 = "", "", IF(AND(E56 &gt;= $C$4, E56 &lt; ($C$4+$C$5)), IF(E56 &lt; ($C$4 + ($C$5/2)), ROUND('Edit Plans'!$M$5,2), ROUND('Edit Plans'!$T$5,2)), 0))</f>
        <v>0</v>
      </c>
      <c r="J56" s="49">
        <f>IF(E56 = "", "", IF(AND(E56 &gt;= $C$4, E56 &lt; ($C$4+$C$5)), ROUND('Edit Plans'!$M$6/$C$5,2), 0))</f>
        <v>0</v>
      </c>
      <c r="K56" s="50">
        <f>IF(E56="","", IF(AND($C$4 &lt;&gt; 0, E56 &gt;= $C$4), ROUND('Edit Plans'!$J$7,2), 0))</f>
        <v>0</v>
      </c>
      <c r="L56" s="50">
        <f>IF(E56="","",IF(AND(E56&gt;=65,E56&lt;=94),ROUND('Edit Plans'!$I$8+(E56-65)*'Edit Plans'!$N$8,2),0))</f>
        <v>0</v>
      </c>
      <c r="M56" s="50">
        <f>IF(E56="","", IF(AND(E56 &gt;= 60, E56 &lt;= 100), ROUND(E56*'Edit Plans'!$J$9,2), 0))</f>
        <v>0</v>
      </c>
    </row>
    <row r="57" spans="5:13" x14ac:dyDescent="0.25">
      <c r="E57" s="5">
        <f t="shared" si="2"/>
        <v>55</v>
      </c>
      <c r="F57" s="5">
        <f t="shared" si="3"/>
        <v>56</v>
      </c>
      <c r="G57" s="50">
        <f>IF(E57="","",IF(AND(E57&gt;=$C$4,E57&lt;($C$4+$C$5)), ROUND('Edit Plans'!$I$3,2),0))</f>
        <v>0</v>
      </c>
      <c r="H57" s="50">
        <f>IF(E57 = "", "", IF(AND(E57 &gt;= $C$4, E57 &lt; ($C$4+$C$5)), IF(MOD(E57-$C$4, 2) = 0, ROUND('Edit Plans'!$I$4,2), 0), 0))</f>
        <v>0</v>
      </c>
      <c r="I57" s="50">
        <f>IF(E57 = "", "", IF(AND(E57 &gt;= $C$4, E57 &lt; ($C$4+$C$5)), IF(E57 &lt; ($C$4 + ($C$5/2)), ROUND('Edit Plans'!$M$5,2), ROUND('Edit Plans'!$T$5,2)), 0))</f>
        <v>0</v>
      </c>
      <c r="J57" s="49">
        <f>IF(E57 = "", "", IF(AND(E57 &gt;= $C$4, E57 &lt; ($C$4+$C$5)), ROUND('Edit Plans'!$M$6/$C$5,2), 0))</f>
        <v>0</v>
      </c>
      <c r="K57" s="50">
        <f>IF(E57="","", IF(AND($C$4 &lt;&gt; 0, E57 &gt;= $C$4), ROUND('Edit Plans'!$J$7,2), 0))</f>
        <v>0</v>
      </c>
      <c r="L57" s="50">
        <f>IF(E57="","",IF(AND(E57&gt;=65,E57&lt;=94),ROUND('Edit Plans'!$I$8+(E57-65)*'Edit Plans'!$N$8,2),0))</f>
        <v>0</v>
      </c>
      <c r="M57" s="50">
        <f>IF(E57="","", IF(AND(E57 &gt;= 60, E57 &lt;= 100), ROUND(E57*'Edit Plans'!$J$9,2), 0))</f>
        <v>0</v>
      </c>
    </row>
    <row r="58" spans="5:13" x14ac:dyDescent="0.25">
      <c r="E58" s="5">
        <f t="shared" si="2"/>
        <v>56</v>
      </c>
      <c r="F58" s="5">
        <f t="shared" si="3"/>
        <v>57</v>
      </c>
      <c r="G58" s="50">
        <f>IF(E58="","",IF(AND(E58&gt;=$C$4,E58&lt;($C$4+$C$5)), ROUND('Edit Plans'!$I$3,2),0))</f>
        <v>0</v>
      </c>
      <c r="H58" s="50">
        <f>IF(E58 = "", "", IF(AND(E58 &gt;= $C$4, E58 &lt; ($C$4+$C$5)), IF(MOD(E58-$C$4, 2) = 0, ROUND('Edit Plans'!$I$4,2), 0), 0))</f>
        <v>0</v>
      </c>
      <c r="I58" s="50">
        <f>IF(E58 = "", "", IF(AND(E58 &gt;= $C$4, E58 &lt; ($C$4+$C$5)), IF(E58 &lt; ($C$4 + ($C$5/2)), ROUND('Edit Plans'!$M$5,2), ROUND('Edit Plans'!$T$5,2)), 0))</f>
        <v>0</v>
      </c>
      <c r="J58" s="49">
        <f>IF(E58 = "", "", IF(AND(E58 &gt;= $C$4, E58 &lt; ($C$4+$C$5)), ROUND('Edit Plans'!$M$6/$C$5,2), 0))</f>
        <v>0</v>
      </c>
      <c r="K58" s="50">
        <f>IF(E58="","", IF(AND($C$4 &lt;&gt; 0, E58 &gt;= $C$4), ROUND('Edit Plans'!$J$7,2), 0))</f>
        <v>0</v>
      </c>
      <c r="L58" s="50">
        <f>IF(E58="","",IF(AND(E58&gt;=65,E58&lt;=94),ROUND('Edit Plans'!$I$8+(E58-65)*'Edit Plans'!$N$8,2),0))</f>
        <v>0</v>
      </c>
      <c r="M58" s="50">
        <f>IF(E58="","", IF(AND(E58 &gt;= 60, E58 &lt;= 100), ROUND(E58*'Edit Plans'!$J$9,2), 0))</f>
        <v>0</v>
      </c>
    </row>
    <row r="59" spans="5:13" x14ac:dyDescent="0.25">
      <c r="E59" s="5">
        <f t="shared" si="2"/>
        <v>57</v>
      </c>
      <c r="F59" s="5">
        <f t="shared" si="3"/>
        <v>58</v>
      </c>
      <c r="G59" s="50">
        <f>IF(E59="","",IF(AND(E59&gt;=$C$4,E59&lt;($C$4+$C$5)), ROUND('Edit Plans'!$I$3,2),0))</f>
        <v>0</v>
      </c>
      <c r="H59" s="50">
        <f>IF(E59 = "", "", IF(AND(E59 &gt;= $C$4, E59 &lt; ($C$4+$C$5)), IF(MOD(E59-$C$4, 2) = 0, ROUND('Edit Plans'!$I$4,2), 0), 0))</f>
        <v>0</v>
      </c>
      <c r="I59" s="50">
        <f>IF(E59 = "", "", IF(AND(E59 &gt;= $C$4, E59 &lt; ($C$4+$C$5)), IF(E59 &lt; ($C$4 + ($C$5/2)), ROUND('Edit Plans'!$M$5,2), ROUND('Edit Plans'!$T$5,2)), 0))</f>
        <v>0</v>
      </c>
      <c r="J59" s="49">
        <f>IF(E59 = "", "", IF(AND(E59 &gt;= $C$4, E59 &lt; ($C$4+$C$5)), ROUND('Edit Plans'!$M$6/$C$5,2), 0))</f>
        <v>0</v>
      </c>
      <c r="K59" s="50">
        <f>IF(E59="","", IF(AND($C$4 &lt;&gt; 0, E59 &gt;= $C$4), ROUND('Edit Plans'!$J$7,2), 0))</f>
        <v>0</v>
      </c>
      <c r="L59" s="50">
        <f>IF(E59="","",IF(AND(E59&gt;=65,E59&lt;=94),ROUND('Edit Plans'!$I$8+(E59-65)*'Edit Plans'!$N$8,2),0))</f>
        <v>0</v>
      </c>
      <c r="M59" s="50">
        <f>IF(E59="","", IF(AND(E59 &gt;= 60, E59 &lt;= 100), ROUND(E59*'Edit Plans'!$J$9,2), 0))</f>
        <v>0</v>
      </c>
    </row>
    <row r="60" spans="5:13" x14ac:dyDescent="0.25">
      <c r="E60" s="5">
        <f t="shared" si="2"/>
        <v>58</v>
      </c>
      <c r="F60" s="5">
        <f t="shared" si="3"/>
        <v>59</v>
      </c>
      <c r="G60" s="50">
        <f>IF(E60="","",IF(AND(E60&gt;=$C$4,E60&lt;($C$4+$C$5)), ROUND('Edit Plans'!$I$3,2),0))</f>
        <v>0</v>
      </c>
      <c r="H60" s="50">
        <f>IF(E60 = "", "", IF(AND(E60 &gt;= $C$4, E60 &lt; ($C$4+$C$5)), IF(MOD(E60-$C$4, 2) = 0, ROUND('Edit Plans'!$I$4,2), 0), 0))</f>
        <v>0</v>
      </c>
      <c r="I60" s="50">
        <f>IF(E60 = "", "", IF(AND(E60 &gt;= $C$4, E60 &lt; ($C$4+$C$5)), IF(E60 &lt; ($C$4 + ($C$5/2)), ROUND('Edit Plans'!$M$5,2), ROUND('Edit Plans'!$T$5,2)), 0))</f>
        <v>0</v>
      </c>
      <c r="J60" s="49">
        <f>IF(E60 = "", "", IF(AND(E60 &gt;= $C$4, E60 &lt; ($C$4+$C$5)), ROUND('Edit Plans'!$M$6/$C$5,2), 0))</f>
        <v>0</v>
      </c>
      <c r="K60" s="50">
        <f>IF(E60="","", IF(AND($C$4 &lt;&gt; 0, E60 &gt;= $C$4), ROUND('Edit Plans'!$J$7,2), 0))</f>
        <v>0</v>
      </c>
      <c r="L60" s="50">
        <f>IF(E60="","",IF(AND(E60&gt;=65,E60&lt;=94),ROUND('Edit Plans'!$I$8+(E60-65)*'Edit Plans'!$N$8,2),0))</f>
        <v>0</v>
      </c>
      <c r="M60" s="50">
        <f>IF(E60="","", IF(AND(E60 &gt;= 60, E60 &lt;= 100), ROUND(E60*'Edit Plans'!$J$9,2), 0))</f>
        <v>0</v>
      </c>
    </row>
    <row r="61" spans="5:13" x14ac:dyDescent="0.25">
      <c r="E61" s="5">
        <f t="shared" si="2"/>
        <v>59</v>
      </c>
      <c r="F61" s="5">
        <f t="shared" si="3"/>
        <v>60</v>
      </c>
      <c r="G61" s="50">
        <f>IF(E61="","",IF(AND(E61&gt;=$C$4,E61&lt;($C$4+$C$5)), ROUND('Edit Plans'!$I$3,2),0))</f>
        <v>0</v>
      </c>
      <c r="H61" s="50">
        <f>IF(E61 = "", "", IF(AND(E61 &gt;= $C$4, E61 &lt; ($C$4+$C$5)), IF(MOD(E61-$C$4, 2) = 0, ROUND('Edit Plans'!$I$4,2), 0), 0))</f>
        <v>0</v>
      </c>
      <c r="I61" s="50">
        <f>IF(E61 = "", "", IF(AND(E61 &gt;= $C$4, E61 &lt; ($C$4+$C$5)), IF(E61 &lt; ($C$4 + ($C$5/2)), ROUND('Edit Plans'!$M$5,2), ROUND('Edit Plans'!$T$5,2)), 0))</f>
        <v>0</v>
      </c>
      <c r="J61" s="49">
        <f>IF(E61 = "", "", IF(AND(E61 &gt;= $C$4, E61 &lt; ($C$4+$C$5)), ROUND('Edit Plans'!$M$6/$C$5,2), 0))</f>
        <v>0</v>
      </c>
      <c r="K61" s="50">
        <f>IF(E61="","", IF(AND($C$4 &lt;&gt; 0, E61 &gt;= $C$4), ROUND('Edit Plans'!$J$7,2), 0))</f>
        <v>0</v>
      </c>
      <c r="L61" s="50">
        <f>IF(E61="","",IF(AND(E61&gt;=65,E61&lt;=94),ROUND('Edit Plans'!$I$8+(E61-65)*'Edit Plans'!$N$8,2),0))</f>
        <v>0</v>
      </c>
      <c r="M61" s="50">
        <f>IF(E61="","", IF(AND(E61 &gt;= 60, E61 &lt;= 100), ROUND(E61*'Edit Plans'!$J$9,2), 0))</f>
        <v>0</v>
      </c>
    </row>
    <row r="62" spans="5:13" x14ac:dyDescent="0.25">
      <c r="E62" s="5">
        <f t="shared" si="2"/>
        <v>60</v>
      </c>
      <c r="F62" s="5">
        <f t="shared" si="3"/>
        <v>61</v>
      </c>
      <c r="G62" s="50">
        <f>IF(E62="","",IF(AND(E62&gt;=$C$4,E62&lt;($C$4+$C$5)), ROUND('Edit Plans'!$I$3,2),0))</f>
        <v>0</v>
      </c>
      <c r="H62" s="50">
        <f>IF(E62 = "", "", IF(AND(E62 &gt;= $C$4, E62 &lt; ($C$4+$C$5)), IF(MOD(E62-$C$4, 2) = 0, ROUND('Edit Plans'!$I$4,2), 0), 0))</f>
        <v>0</v>
      </c>
      <c r="I62" s="50">
        <f>IF(E62 = "", "", IF(AND(E62 &gt;= $C$4, E62 &lt; ($C$4+$C$5)), IF(E62 &lt; ($C$4 + ($C$5/2)), ROUND('Edit Plans'!$M$5,2), ROUND('Edit Plans'!$T$5,2)), 0))</f>
        <v>0</v>
      </c>
      <c r="J62" s="49">
        <f>IF(E62 = "", "", IF(AND(E62 &gt;= $C$4, E62 &lt; ($C$4+$C$5)), ROUND('Edit Plans'!$M$6/$C$5,2), 0))</f>
        <v>0</v>
      </c>
      <c r="K62" s="50">
        <f>IF(E62="","", IF(AND($C$4 &lt;&gt; 0, E62 &gt;= $C$4), ROUND('Edit Plans'!$J$7,2), 0))</f>
        <v>0</v>
      </c>
      <c r="L62" s="50">
        <f>IF(E62="","",IF(AND(E62&gt;=65,E62&lt;=94),ROUND('Edit Plans'!$I$8+(E62-65)*'Edit Plans'!$N$8,2),0))</f>
        <v>0</v>
      </c>
      <c r="M62" s="50">
        <f>IF(E62="","", IF(AND(E62 &gt;= 60, E62 &lt;= 100), ROUND(E62*'Edit Plans'!$J$9,2), 0))</f>
        <v>60000</v>
      </c>
    </row>
    <row r="63" spans="5:13" x14ac:dyDescent="0.25">
      <c r="E63" s="5">
        <f t="shared" si="2"/>
        <v>61</v>
      </c>
      <c r="F63" s="5">
        <f t="shared" si="3"/>
        <v>62</v>
      </c>
      <c r="G63" s="50">
        <f>IF(E63="","",IF(AND(E63&gt;=$C$4,E63&lt;($C$4+$C$5)), ROUND('Edit Plans'!$I$3,2),0))</f>
        <v>0</v>
      </c>
      <c r="H63" s="50">
        <f>IF(E63 = "", "", IF(AND(E63 &gt;= $C$4, E63 &lt; ($C$4+$C$5)), IF(MOD(E63-$C$4, 2) = 0, ROUND('Edit Plans'!$I$4,2), 0), 0))</f>
        <v>0</v>
      </c>
      <c r="I63" s="50">
        <f>IF(E63 = "", "", IF(AND(E63 &gt;= $C$4, E63 &lt; ($C$4+$C$5)), IF(E63 &lt; ($C$4 + ($C$5/2)), ROUND('Edit Plans'!$M$5,2), ROUND('Edit Plans'!$T$5,2)), 0))</f>
        <v>0</v>
      </c>
      <c r="J63" s="49">
        <f>IF(E63 = "", "", IF(AND(E63 &gt;= $C$4, E63 &lt; ($C$4+$C$5)), ROUND('Edit Plans'!$M$6/$C$5,2), 0))</f>
        <v>0</v>
      </c>
      <c r="K63" s="50">
        <f>IF(E63="","", IF(AND($C$4 &lt;&gt; 0, E63 &gt;= $C$4), ROUND('Edit Plans'!$J$7,2), 0))</f>
        <v>0</v>
      </c>
      <c r="L63" s="50">
        <f>IF(E63="","",IF(AND(E63&gt;=65,E63&lt;=94),ROUND('Edit Plans'!$I$8+(E63-65)*'Edit Plans'!$N$8,2),0))</f>
        <v>0</v>
      </c>
      <c r="M63" s="50">
        <f>IF(E63="","", IF(AND(E63 &gt;= 60, E63 &lt;= 100), ROUND(E63*'Edit Plans'!$J$9,2), 0))</f>
        <v>61000</v>
      </c>
    </row>
    <row r="64" spans="5:13" x14ac:dyDescent="0.25">
      <c r="E64" s="5">
        <f t="shared" si="2"/>
        <v>62</v>
      </c>
      <c r="F64" s="5">
        <f t="shared" si="3"/>
        <v>63</v>
      </c>
      <c r="G64" s="50">
        <f>IF(E64="","",IF(AND(E64&gt;=$C$4,E64&lt;($C$4+$C$5)), ROUND('Edit Plans'!$I$3,2),0))</f>
        <v>0</v>
      </c>
      <c r="H64" s="50">
        <f>IF(E64 = "", "", IF(AND(E64 &gt;= $C$4, E64 &lt; ($C$4+$C$5)), IF(MOD(E64-$C$4, 2) = 0, ROUND('Edit Plans'!$I$4,2), 0), 0))</f>
        <v>0</v>
      </c>
      <c r="I64" s="50">
        <f>IF(E64 = "", "", IF(AND(E64 &gt;= $C$4, E64 &lt; ($C$4+$C$5)), IF(E64 &lt; ($C$4 + ($C$5/2)), ROUND('Edit Plans'!$M$5,2), ROUND('Edit Plans'!$T$5,2)), 0))</f>
        <v>0</v>
      </c>
      <c r="J64" s="49">
        <f>IF(E64 = "", "", IF(AND(E64 &gt;= $C$4, E64 &lt; ($C$4+$C$5)), ROUND('Edit Plans'!$M$6/$C$5,2), 0))</f>
        <v>0</v>
      </c>
      <c r="K64" s="50">
        <f>IF(E64="","", IF(AND($C$4 &lt;&gt; 0, E64 &gt;= $C$4), ROUND('Edit Plans'!$J$7,2), 0))</f>
        <v>0</v>
      </c>
      <c r="L64" s="50">
        <f>IF(E64="","",IF(AND(E64&gt;=65,E64&lt;=94),ROUND('Edit Plans'!$I$8+(E64-65)*'Edit Plans'!$N$8,2),0))</f>
        <v>0</v>
      </c>
      <c r="M64" s="50">
        <f>IF(E64="","", IF(AND(E64 &gt;= 60, E64 &lt;= 100), ROUND(E64*'Edit Plans'!$J$9,2), 0))</f>
        <v>62000</v>
      </c>
    </row>
    <row r="65" spans="5:13" x14ac:dyDescent="0.25">
      <c r="E65" s="5">
        <f t="shared" si="2"/>
        <v>63</v>
      </c>
      <c r="F65" s="5">
        <f t="shared" si="3"/>
        <v>64</v>
      </c>
      <c r="G65" s="50">
        <f>IF(E65="","",IF(AND(E65&gt;=$C$4,E65&lt;($C$4+$C$5)), ROUND('Edit Plans'!$I$3,2),0))</f>
        <v>0</v>
      </c>
      <c r="H65" s="50">
        <f>IF(E65 = "", "", IF(AND(E65 &gt;= $C$4, E65 &lt; ($C$4+$C$5)), IF(MOD(E65-$C$4, 2) = 0, ROUND('Edit Plans'!$I$4,2), 0), 0))</f>
        <v>0</v>
      </c>
      <c r="I65" s="50">
        <f>IF(E65 = "", "", IF(AND(E65 &gt;= $C$4, E65 &lt; ($C$4+$C$5)), IF(E65 &lt; ($C$4 + ($C$5/2)), ROUND('Edit Plans'!$M$5,2), ROUND('Edit Plans'!$T$5,2)), 0))</f>
        <v>0</v>
      </c>
      <c r="J65" s="49">
        <f>IF(E65 = "", "", IF(AND(E65 &gt;= $C$4, E65 &lt; ($C$4+$C$5)), ROUND('Edit Plans'!$M$6/$C$5,2), 0))</f>
        <v>0</v>
      </c>
      <c r="K65" s="50">
        <f>IF(E65="","", IF(AND($C$4 &lt;&gt; 0, E65 &gt;= $C$4), ROUND('Edit Plans'!$J$7,2), 0))</f>
        <v>0</v>
      </c>
      <c r="L65" s="50">
        <f>IF(E65="","",IF(AND(E65&gt;=65,E65&lt;=94),ROUND('Edit Plans'!$I$8+(E65-65)*'Edit Plans'!$N$8,2),0))</f>
        <v>0</v>
      </c>
      <c r="M65" s="50">
        <f>IF(E65="","", IF(AND(E65 &gt;= 60, E65 &lt;= 100), ROUND(E65*'Edit Plans'!$J$9,2), 0))</f>
        <v>63000</v>
      </c>
    </row>
    <row r="66" spans="5:13" x14ac:dyDescent="0.25">
      <c r="E66" s="5">
        <f t="shared" si="2"/>
        <v>64</v>
      </c>
      <c r="F66" s="5">
        <f t="shared" si="3"/>
        <v>65</v>
      </c>
      <c r="G66" s="50">
        <f>IF(E66="","",IF(AND(E66&gt;=$C$4,E66&lt;($C$4+$C$5)), ROUND('Edit Plans'!$I$3,2),0))</f>
        <v>0</v>
      </c>
      <c r="H66" s="50">
        <f>IF(E66 = "", "", IF(AND(E66 &gt;= $C$4, E66 &lt; ($C$4+$C$5)), IF(MOD(E66-$C$4, 2) = 0, ROUND('Edit Plans'!$I$4,2), 0), 0))</f>
        <v>0</v>
      </c>
      <c r="I66" s="50">
        <f>IF(E66 = "", "", IF(AND(E66 &gt;= $C$4, E66 &lt; ($C$4+$C$5)), IF(E66 &lt; ($C$4 + ($C$5/2)), ROUND('Edit Plans'!$M$5,2), ROUND('Edit Plans'!$T$5,2)), 0))</f>
        <v>0</v>
      </c>
      <c r="J66" s="49">
        <f>IF(E66 = "", "", IF(AND(E66 &gt;= $C$4, E66 &lt; ($C$4+$C$5)), ROUND('Edit Plans'!$M$6/$C$5,2), 0))</f>
        <v>0</v>
      </c>
      <c r="K66" s="50">
        <f>IF(E66="","", IF(AND($C$4 &lt;&gt; 0, E66 &gt;= $C$4), ROUND('Edit Plans'!$J$7,2), 0))</f>
        <v>0</v>
      </c>
      <c r="L66" s="50">
        <f>IF(E66="","",IF(AND(E66&gt;=65,E66&lt;=94),ROUND('Edit Plans'!$I$8+(E66-65)*'Edit Plans'!$N$8,2),0))</f>
        <v>0</v>
      </c>
      <c r="M66" s="50">
        <f>IF(E66="","", IF(AND(E66 &gt;= 60, E66 &lt;= 100), ROUND(E66*'Edit Plans'!$J$9,2), 0))</f>
        <v>64000</v>
      </c>
    </row>
    <row r="67" spans="5:13" x14ac:dyDescent="0.25">
      <c r="E67" s="5">
        <f t="shared" ref="E67:E72" si="4">IF(F67="","",E66+1)</f>
        <v>65</v>
      </c>
      <c r="F67" s="5">
        <f t="shared" ref="F67:F72" si="5">IF(F66="","",IF($C$3+F66&lt;=110,F66+1,""))</f>
        <v>66</v>
      </c>
      <c r="G67" s="50">
        <f>IF(E67="","",IF(AND(E67&gt;=$C$4,E67&lt;($C$4+$C$5)), ROUND('Edit Plans'!$I$3,2),0))</f>
        <v>0</v>
      </c>
      <c r="H67" s="50">
        <f>IF(E67 = "", "", IF(AND(E67 &gt;= $C$4, E67 &lt; ($C$4+$C$5)), IF(MOD(E67-$C$4, 2) = 0, ROUND('Edit Plans'!$I$4,2), 0), 0))</f>
        <v>0</v>
      </c>
      <c r="I67" s="50">
        <f>IF(E67 = "", "", IF(AND(E67 &gt;= $C$4, E67 &lt; ($C$4+$C$5)), IF(E67 &lt; ($C$4 + ($C$5/2)), ROUND('Edit Plans'!$M$5,2), ROUND('Edit Plans'!$T$5,2)), 0))</f>
        <v>0</v>
      </c>
      <c r="J67" s="49">
        <f>IF(E67 = "", "", IF(AND(E67 &gt;= $C$4, E67 &lt; ($C$4+$C$5)), ROUND('Edit Plans'!$M$6/$C$5,2), 0))</f>
        <v>0</v>
      </c>
      <c r="K67" s="50">
        <f>IF(E67="","", IF(AND($C$4 &lt;&gt; 0, E67 &gt;= $C$4), ROUND('Edit Plans'!$J$7,2), 0))</f>
        <v>0</v>
      </c>
      <c r="L67" s="50">
        <f>IF(E67="","",IF(AND(E67&gt;=65,E67&lt;=94),ROUND('Edit Plans'!$I$8+(E67-65)*'Edit Plans'!$N$8,2),0))</f>
        <v>25000</v>
      </c>
      <c r="M67" s="50">
        <f>IF(E67="","", IF(AND(E67 &gt;= 60, E67 &lt;= 100), ROUND(E67*'Edit Plans'!$J$9,2), 0))</f>
        <v>65000</v>
      </c>
    </row>
    <row r="68" spans="5:13" x14ac:dyDescent="0.25">
      <c r="E68" s="5">
        <f t="shared" si="4"/>
        <v>66</v>
      </c>
      <c r="F68" s="5">
        <f t="shared" si="5"/>
        <v>67</v>
      </c>
      <c r="G68" s="50">
        <f>IF(E68="","",IF(AND(E68&gt;=$C$4,E68&lt;($C$4+$C$5)), ROUND('Edit Plans'!$I$3,2),0))</f>
        <v>0</v>
      </c>
      <c r="H68" s="50">
        <f>IF(E68 = "", "", IF(AND(E68 &gt;= $C$4, E68 &lt; ($C$4+$C$5)), IF(MOD(E68-$C$4, 2) = 0, ROUND('Edit Plans'!$I$4,2), 0), 0))</f>
        <v>0</v>
      </c>
      <c r="I68" s="50">
        <f>IF(E68 = "", "", IF(AND(E68 &gt;= $C$4, E68 &lt; ($C$4+$C$5)), IF(E68 &lt; ($C$4 + ($C$5/2)), ROUND('Edit Plans'!$M$5,2), ROUND('Edit Plans'!$T$5,2)), 0))</f>
        <v>0</v>
      </c>
      <c r="J68" s="49">
        <f>IF(E68 = "", "", IF(AND(E68 &gt;= $C$4, E68 &lt; ($C$4+$C$5)), ROUND('Edit Plans'!$M$6/$C$5,2), 0))</f>
        <v>0</v>
      </c>
      <c r="K68" s="50">
        <f>IF(E68="","", IF(AND($C$4 &lt;&gt; 0, E68 &gt;= $C$4), ROUND('Edit Plans'!$J$7,2), 0))</f>
        <v>0</v>
      </c>
      <c r="L68" s="50">
        <f>IF(E68="","",IF(AND(E68&gt;=65,E68&lt;=94),ROUND('Edit Plans'!$I$8+(E68-65)*'Edit Plans'!$N$8,2),0))</f>
        <v>26000</v>
      </c>
      <c r="M68" s="50">
        <f>IF(E68="","", IF(AND(E68 &gt;= 60, E68 &lt;= 100), ROUND(E68*'Edit Plans'!$J$9,2), 0))</f>
        <v>66000</v>
      </c>
    </row>
    <row r="69" spans="5:13" x14ac:dyDescent="0.25">
      <c r="E69" s="5">
        <f t="shared" si="4"/>
        <v>67</v>
      </c>
      <c r="F69" s="5">
        <f t="shared" si="5"/>
        <v>68</v>
      </c>
      <c r="G69" s="50">
        <f>IF(E69="","",IF(AND(E69&gt;=$C$4,E69&lt;($C$4+$C$5)), ROUND('Edit Plans'!$I$3,2),0))</f>
        <v>0</v>
      </c>
      <c r="H69" s="50">
        <f>IF(E69 = "", "", IF(AND(E69 &gt;= $C$4, E69 &lt; ($C$4+$C$5)), IF(MOD(E69-$C$4, 2) = 0, ROUND('Edit Plans'!$I$4,2), 0), 0))</f>
        <v>0</v>
      </c>
      <c r="I69" s="50">
        <f>IF(E69 = "", "", IF(AND(E69 &gt;= $C$4, E69 &lt; ($C$4+$C$5)), IF(E69 &lt; ($C$4 + ($C$5/2)), ROUND('Edit Plans'!$M$5,2), ROUND('Edit Plans'!$T$5,2)), 0))</f>
        <v>0</v>
      </c>
      <c r="J69" s="49">
        <f>IF(E69 = "", "", IF(AND(E69 &gt;= $C$4, E69 &lt; ($C$4+$C$5)), ROUND('Edit Plans'!$M$6/$C$5,2), 0))</f>
        <v>0</v>
      </c>
      <c r="K69" s="50">
        <f>IF(E69="","", IF(AND($C$4 &lt;&gt; 0, E69 &gt;= $C$4), ROUND('Edit Plans'!$J$7,2), 0))</f>
        <v>0</v>
      </c>
      <c r="L69" s="50">
        <f>IF(E69="","",IF(AND(E69&gt;=65,E69&lt;=94),ROUND('Edit Plans'!$I$8+(E69-65)*'Edit Plans'!$N$8,2),0))</f>
        <v>27000</v>
      </c>
      <c r="M69" s="50">
        <f>IF(E69="","", IF(AND(E69 &gt;= 60, E69 &lt;= 100), ROUND(E69*'Edit Plans'!$J$9,2), 0))</f>
        <v>67000</v>
      </c>
    </row>
    <row r="70" spans="5:13" x14ac:dyDescent="0.25">
      <c r="E70" s="5">
        <f t="shared" si="4"/>
        <v>68</v>
      </c>
      <c r="F70" s="5">
        <f t="shared" si="5"/>
        <v>69</v>
      </c>
      <c r="G70" s="50">
        <f>IF(E70="","",IF(AND(E70&gt;=$C$4,E70&lt;($C$4+$C$5)), ROUND('Edit Plans'!$I$3,2),0))</f>
        <v>0</v>
      </c>
      <c r="H70" s="50">
        <f>IF(E70 = "", "", IF(AND(E70 &gt;= $C$4, E70 &lt; ($C$4+$C$5)), IF(MOD(E70-$C$4, 2) = 0, ROUND('Edit Plans'!$I$4,2), 0), 0))</f>
        <v>0</v>
      </c>
      <c r="I70" s="50">
        <f>IF(E70 = "", "", IF(AND(E70 &gt;= $C$4, E70 &lt; ($C$4+$C$5)), IF(E70 &lt; ($C$4 + ($C$5/2)), ROUND('Edit Plans'!$M$5,2), ROUND('Edit Plans'!$T$5,2)), 0))</f>
        <v>0</v>
      </c>
      <c r="J70" s="49">
        <f>IF(E70 = "", "", IF(AND(E70 &gt;= $C$4, E70 &lt; ($C$4+$C$5)), ROUND('Edit Plans'!$M$6/$C$5,2), 0))</f>
        <v>0</v>
      </c>
      <c r="K70" s="50">
        <f>IF(E70="","", IF(AND($C$4 &lt;&gt; 0, E70 &gt;= $C$4), ROUND('Edit Plans'!$J$7,2), 0))</f>
        <v>0</v>
      </c>
      <c r="L70" s="50">
        <f>IF(E70="","",IF(AND(E70&gt;=65,E70&lt;=94),ROUND('Edit Plans'!$I$8+(E70-65)*'Edit Plans'!$N$8,2),0))</f>
        <v>28000</v>
      </c>
      <c r="M70" s="50">
        <f>IF(E70="","", IF(AND(E70 &gt;= 60, E70 &lt;= 100), ROUND(E70*'Edit Plans'!$J$9,2), 0))</f>
        <v>68000</v>
      </c>
    </row>
    <row r="71" spans="5:13" x14ac:dyDescent="0.25">
      <c r="E71" s="5">
        <f t="shared" si="4"/>
        <v>69</v>
      </c>
      <c r="F71" s="5">
        <f t="shared" si="5"/>
        <v>70</v>
      </c>
      <c r="G71" s="50">
        <f>IF(E71="","",IF(AND(E71&gt;=$C$4,E71&lt;($C$4+$C$5)), ROUND('Edit Plans'!$I$3,2),0))</f>
        <v>0</v>
      </c>
      <c r="H71" s="50">
        <f>IF(E71 = "", "", IF(AND(E71 &gt;= $C$4, E71 &lt; ($C$4+$C$5)), IF(MOD(E71-$C$4, 2) = 0, ROUND('Edit Plans'!$I$4,2), 0), 0))</f>
        <v>0</v>
      </c>
      <c r="I71" s="50">
        <f>IF(E71 = "", "", IF(AND(E71 &gt;= $C$4, E71 &lt; ($C$4+$C$5)), IF(E71 &lt; ($C$4 + ($C$5/2)), ROUND('Edit Plans'!$M$5,2), ROUND('Edit Plans'!$T$5,2)), 0))</f>
        <v>0</v>
      </c>
      <c r="J71" s="49">
        <f>IF(E71 = "", "", IF(AND(E71 &gt;= $C$4, E71 &lt; ($C$4+$C$5)), ROUND('Edit Plans'!$M$6/$C$5,2), 0))</f>
        <v>0</v>
      </c>
      <c r="K71" s="50">
        <f>IF(E71="","", IF(AND($C$4 &lt;&gt; 0, E71 &gt;= $C$4), ROUND('Edit Plans'!$J$7,2), 0))</f>
        <v>0</v>
      </c>
      <c r="L71" s="50">
        <f>IF(E71="","",IF(AND(E71&gt;=65,E71&lt;=94),ROUND('Edit Plans'!$I$8+(E71-65)*'Edit Plans'!$N$8,2),0))</f>
        <v>29000</v>
      </c>
      <c r="M71" s="50">
        <f>IF(E71="","", IF(AND(E71 &gt;= 60, E71 &lt;= 100), ROUND(E71*'Edit Plans'!$J$9,2), 0))</f>
        <v>69000</v>
      </c>
    </row>
    <row r="72" spans="5:13" x14ac:dyDescent="0.25">
      <c r="E72" s="6">
        <f t="shared" si="4"/>
        <v>70</v>
      </c>
      <c r="F72" s="6">
        <f t="shared" si="5"/>
        <v>71</v>
      </c>
      <c r="G72" s="51">
        <f>IF(E72="","",IF(AND(E72&gt;=$C$4,E72&lt;($C$4+$C$5)), ROUND('Edit Plans'!$I$3,2),0))</f>
        <v>0</v>
      </c>
      <c r="H72" s="51">
        <f>IF(E72 = "", "", IF(AND(E72 &gt;= $C$4, E72 &lt; ($C$4+$C$5)), IF(MOD(E72-$C$4, 2) = 0, ROUND('Edit Plans'!$I$4,2), 0), 0))</f>
        <v>0</v>
      </c>
      <c r="I72" s="51">
        <f>IF(E72 = "", "", IF(AND(E72 &gt;= $C$4, E72 &lt; ($C$4+$C$5)), IF(E72 &lt; ($C$4 + ($C$5/2)), ROUND('Edit Plans'!$M$5,2), ROUND('Edit Plans'!$T$5,2)), 0))</f>
        <v>0</v>
      </c>
      <c r="J72" s="51">
        <f>IF(E72 = "", "", IF(AND(E72 &gt;= $C$4, E72 &lt; ($C$4+$C$5)), ROUND('Edit Plans'!$M$6/$C$5,2), 0))</f>
        <v>0</v>
      </c>
      <c r="K72" s="51">
        <f>IF(E72="","", IF(AND($C$4 &lt;&gt; 0, E72 &gt;= $C$4), ROUND('Edit Plans'!$J$7,2), 0))</f>
        <v>0</v>
      </c>
      <c r="L72" s="51">
        <f>IF(E72="","",IF(AND(E72&gt;=65,E72&lt;=94),ROUND('Edit Plans'!$I$8+(E72-65)*'Edit Plans'!$N$8,2),0))</f>
        <v>30000</v>
      </c>
      <c r="M72" s="51">
        <f>IF(E72="","", IF(AND(E72 &gt;= 60, E72 &lt;= 100), ROUND(E72*'Edit Plans'!$J$9,2), 0))</f>
        <v>70000</v>
      </c>
    </row>
    <row r="128" spans="6:6" x14ac:dyDescent="0.25">
      <c r="F128" t="str">
        <f>IF(F127="","",IF($C$3+F127&lt;=110,F127+1,""))</f>
        <v/>
      </c>
    </row>
    <row r="129" spans="6:6" x14ac:dyDescent="0.25">
      <c r="F129" t="str">
        <f>IF(F128="","",IF($C$3+F128&lt;=110,F128+1,""))</f>
        <v/>
      </c>
    </row>
  </sheetData>
  <phoneticPr fontId="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Illustration Tool</vt:lpstr>
      <vt:lpstr>Edit Plans</vt:lpstr>
      <vt:lpstr>Payment Calculator</vt:lpstr>
      <vt:lpstr>plan_vs_payment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Anson Chiu</dc:creator>
  <cp:lastModifiedBy>Anson Chiu</cp:lastModifiedBy>
  <dcterms:created xsi:type="dcterms:W3CDTF">2021-11-09T09:52:35Z</dcterms:created>
  <dcterms:modified xsi:type="dcterms:W3CDTF">2021-11-18T22:54:27Z</dcterms:modified>
</cp:coreProperties>
</file>