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son\Downloads\"/>
    </mc:Choice>
  </mc:AlternateContent>
  <xr:revisionPtr revIDLastSave="0" documentId="13_ncr:1_{1EDB92B1-AFF3-4934-A5B0-72067DBF73ED}" xr6:coauthVersionLast="47" xr6:coauthVersionMax="47" xr10:uidLastSave="{00000000-0000-0000-0000-000000000000}"/>
  <bookViews>
    <workbookView xWindow="-120" yWindow="-120" windowWidth="29040" windowHeight="15840" xr2:uid="{3C6EB803-4BDD-394A-80C2-00F8CDA5E520}"/>
  </bookViews>
  <sheets>
    <sheet name="Illustration Tool" sheetId="1" r:id="rId1"/>
    <sheet name="Payment Calculator" sheetId="4" r:id="rId2"/>
    <sheet name="Plan Descriptions" sheetId="5" r:id="rId3"/>
    <sheet name="Block of Business" sheetId="6" r:id="rId4"/>
  </sheets>
  <definedNames>
    <definedName name="_xlnm._FilterDatabase" localSheetId="3" hidden="1">'Block of Business'!$A$1:$E$101</definedName>
    <definedName name="plan_vs_payment">'Payment Calculator'!$G$1:$M$72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" l="1"/>
  <c r="M7" i="1" l="1"/>
  <c r="F128" i="4"/>
  <c r="F129" i="4" s="1"/>
  <c r="C5" i="4"/>
  <c r="C4" i="4"/>
  <c r="C3" i="4"/>
  <c r="F3" i="4" s="1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H6" i="1" l="1"/>
  <c r="E2" i="4" l="1"/>
  <c r="I2" i="4" s="1"/>
  <c r="K2" i="4" l="1"/>
  <c r="M2" i="4"/>
  <c r="L2" i="4"/>
  <c r="J2" i="4"/>
  <c r="H2" i="4"/>
  <c r="G2" i="4"/>
  <c r="I6" i="1" s="1"/>
  <c r="H7" i="1"/>
  <c r="G6" i="1"/>
  <c r="E3" i="4"/>
  <c r="I3" i="4" s="1"/>
  <c r="K3" i="4" l="1"/>
  <c r="L3" i="4"/>
  <c r="M3" i="4"/>
  <c r="J3" i="4"/>
  <c r="H3" i="4"/>
  <c r="G3" i="4"/>
  <c r="H8" i="1"/>
  <c r="G7" i="1"/>
  <c r="E4" i="4"/>
  <c r="I4" i="4" s="1"/>
  <c r="I7" i="1" l="1"/>
  <c r="K4" i="4"/>
  <c r="L4" i="4"/>
  <c r="M4" i="4"/>
  <c r="J4" i="4"/>
  <c r="H4" i="4"/>
  <c r="G4" i="4"/>
  <c r="G8" i="1"/>
  <c r="H9" i="1"/>
  <c r="E5" i="4"/>
  <c r="I5" i="4" s="1"/>
  <c r="I8" i="1" l="1"/>
  <c r="K5" i="4"/>
  <c r="L5" i="4"/>
  <c r="M5" i="4"/>
  <c r="J5" i="4"/>
  <c r="H5" i="4"/>
  <c r="G5" i="4"/>
  <c r="H10" i="1"/>
  <c r="E6" i="4"/>
  <c r="I6" i="4" s="1"/>
  <c r="G9" i="1"/>
  <c r="I9" i="1" l="1"/>
  <c r="K6" i="4"/>
  <c r="M6" i="4"/>
  <c r="L6" i="4"/>
  <c r="J6" i="4"/>
  <c r="H6" i="4"/>
  <c r="G6" i="4"/>
  <c r="G10" i="1"/>
  <c r="H11" i="1"/>
  <c r="E7" i="4"/>
  <c r="I7" i="4" s="1"/>
  <c r="I10" i="1" l="1"/>
  <c r="K7" i="4"/>
  <c r="M7" i="4"/>
  <c r="L7" i="4"/>
  <c r="J7" i="4"/>
  <c r="H7" i="4"/>
  <c r="G7" i="4"/>
  <c r="H12" i="1"/>
  <c r="E8" i="4"/>
  <c r="I8" i="4" s="1"/>
  <c r="G11" i="1"/>
  <c r="I11" i="1" l="1"/>
  <c r="K8" i="4"/>
  <c r="M8" i="4"/>
  <c r="L8" i="4"/>
  <c r="J8" i="4"/>
  <c r="H8" i="4"/>
  <c r="G8" i="4"/>
  <c r="H13" i="1"/>
  <c r="E9" i="4"/>
  <c r="I9" i="4" s="1"/>
  <c r="G12" i="1"/>
  <c r="I12" i="1" l="1"/>
  <c r="K9" i="4"/>
  <c r="M9" i="4"/>
  <c r="L9" i="4"/>
  <c r="J9" i="4"/>
  <c r="H9" i="4"/>
  <c r="G9" i="4"/>
  <c r="H14" i="1"/>
  <c r="E10" i="4"/>
  <c r="I10" i="4" s="1"/>
  <c r="G13" i="1"/>
  <c r="K10" i="4" l="1"/>
  <c r="M10" i="4"/>
  <c r="L10" i="4"/>
  <c r="I13" i="1"/>
  <c r="J10" i="4"/>
  <c r="H10" i="4"/>
  <c r="G10" i="4"/>
  <c r="H15" i="1"/>
  <c r="E11" i="4"/>
  <c r="I11" i="4" s="1"/>
  <c r="G14" i="1"/>
  <c r="K11" i="4" l="1"/>
  <c r="M11" i="4"/>
  <c r="L11" i="4"/>
  <c r="I14" i="1"/>
  <c r="J11" i="4"/>
  <c r="G11" i="4"/>
  <c r="H11" i="4"/>
  <c r="H16" i="1"/>
  <c r="E12" i="4"/>
  <c r="I12" i="4" s="1"/>
  <c r="G15" i="1"/>
  <c r="I15" i="1" l="1"/>
  <c r="K12" i="4"/>
  <c r="M12" i="4"/>
  <c r="L12" i="4"/>
  <c r="J12" i="4"/>
  <c r="G12" i="4"/>
  <c r="H12" i="4"/>
  <c r="H17" i="1"/>
  <c r="E13" i="4"/>
  <c r="I13" i="4" s="1"/>
  <c r="G16" i="1"/>
  <c r="I16" i="1" l="1"/>
  <c r="K13" i="4"/>
  <c r="M13" i="4"/>
  <c r="L13" i="4"/>
  <c r="J13" i="4"/>
  <c r="G13" i="4"/>
  <c r="H13" i="4"/>
  <c r="E14" i="4"/>
  <c r="I14" i="4" s="1"/>
  <c r="G17" i="1"/>
  <c r="H18" i="1"/>
  <c r="I17" i="1" l="1"/>
  <c r="K14" i="4"/>
  <c r="M14" i="4"/>
  <c r="L14" i="4"/>
  <c r="J14" i="4"/>
  <c r="G14" i="4"/>
  <c r="H14" i="4"/>
  <c r="H19" i="1"/>
  <c r="E15" i="4"/>
  <c r="I15" i="4" s="1"/>
  <c r="G18" i="1"/>
  <c r="I18" i="1" l="1"/>
  <c r="K15" i="4"/>
  <c r="L15" i="4"/>
  <c r="M15" i="4"/>
  <c r="J15" i="4"/>
  <c r="G15" i="4"/>
  <c r="H15" i="4"/>
  <c r="E16" i="4"/>
  <c r="I16" i="4" s="1"/>
  <c r="G19" i="1"/>
  <c r="H20" i="1"/>
  <c r="I19" i="1" l="1"/>
  <c r="K16" i="4"/>
  <c r="L16" i="4"/>
  <c r="M16" i="4"/>
  <c r="J16" i="4"/>
  <c r="G16" i="4"/>
  <c r="I20" i="1" s="1"/>
  <c r="H16" i="4"/>
  <c r="E17" i="4"/>
  <c r="I17" i="4" s="1"/>
  <c r="G20" i="1"/>
  <c r="H21" i="1"/>
  <c r="K17" i="4" l="1"/>
  <c r="L17" i="4"/>
  <c r="M17" i="4"/>
  <c r="J17" i="4"/>
  <c r="G17" i="4"/>
  <c r="H17" i="4"/>
  <c r="H22" i="1"/>
  <c r="E18" i="4"/>
  <c r="I18" i="4" s="1"/>
  <c r="G21" i="1"/>
  <c r="I21" i="1" l="1"/>
  <c r="K18" i="4"/>
  <c r="L18" i="4"/>
  <c r="M18" i="4"/>
  <c r="J18" i="4"/>
  <c r="H18" i="4"/>
  <c r="G18" i="4"/>
  <c r="E19" i="4"/>
  <c r="I19" i="4" s="1"/>
  <c r="G22" i="1"/>
  <c r="H23" i="1"/>
  <c r="I22" i="1" l="1"/>
  <c r="K19" i="4"/>
  <c r="L19" i="4"/>
  <c r="M19" i="4"/>
  <c r="J19" i="4"/>
  <c r="H19" i="4"/>
  <c r="G19" i="4"/>
  <c r="H24" i="1"/>
  <c r="E20" i="4"/>
  <c r="I20" i="4" s="1"/>
  <c r="G23" i="1"/>
  <c r="I23" i="1" l="1"/>
  <c r="K20" i="4"/>
  <c r="L20" i="4"/>
  <c r="M20" i="4"/>
  <c r="J20" i="4"/>
  <c r="H20" i="4"/>
  <c r="G20" i="4"/>
  <c r="E21" i="4"/>
  <c r="I21" i="4" s="1"/>
  <c r="G24" i="1"/>
  <c r="H25" i="1"/>
  <c r="I24" i="1" l="1"/>
  <c r="K21" i="4"/>
  <c r="L21" i="4"/>
  <c r="M21" i="4"/>
  <c r="J21" i="4"/>
  <c r="H21" i="4"/>
  <c r="G21" i="4"/>
  <c r="H26" i="1"/>
  <c r="E22" i="4"/>
  <c r="I22" i="4" s="1"/>
  <c r="G25" i="1"/>
  <c r="I25" i="1" l="1"/>
  <c r="K22" i="4"/>
  <c r="M22" i="4"/>
  <c r="L22" i="4"/>
  <c r="J22" i="4"/>
  <c r="H22" i="4"/>
  <c r="G22" i="4"/>
  <c r="I26" i="1" s="1"/>
  <c r="E23" i="4"/>
  <c r="I23" i="4" s="1"/>
  <c r="G26" i="1"/>
  <c r="H27" i="1"/>
  <c r="K23" i="4" l="1"/>
  <c r="M23" i="4"/>
  <c r="L23" i="4"/>
  <c r="J23" i="4"/>
  <c r="H23" i="4"/>
  <c r="G23" i="4"/>
  <c r="H28" i="1"/>
  <c r="E24" i="4"/>
  <c r="I24" i="4" s="1"/>
  <c r="G27" i="1"/>
  <c r="I27" i="1" l="1"/>
  <c r="K24" i="4"/>
  <c r="M24" i="4"/>
  <c r="L24" i="4"/>
  <c r="J24" i="4"/>
  <c r="H24" i="4"/>
  <c r="G24" i="4"/>
  <c r="E25" i="4"/>
  <c r="I25" i="4" s="1"/>
  <c r="G28" i="1"/>
  <c r="H29" i="1"/>
  <c r="I28" i="1" l="1"/>
  <c r="K25" i="4"/>
  <c r="M25" i="4"/>
  <c r="L25" i="4"/>
  <c r="J25" i="4"/>
  <c r="H25" i="4"/>
  <c r="G25" i="4"/>
  <c r="I29" i="1" s="1"/>
  <c r="H30" i="1"/>
  <c r="E26" i="4"/>
  <c r="I26" i="4" s="1"/>
  <c r="G29" i="1"/>
  <c r="K26" i="4" l="1"/>
  <c r="M26" i="4"/>
  <c r="L26" i="4"/>
  <c r="J26" i="4"/>
  <c r="H26" i="4"/>
  <c r="G26" i="4"/>
  <c r="I30" i="1" s="1"/>
  <c r="E27" i="4"/>
  <c r="I27" i="4" s="1"/>
  <c r="G30" i="1"/>
  <c r="H31" i="1"/>
  <c r="K27" i="4" l="1"/>
  <c r="M27" i="4"/>
  <c r="L27" i="4"/>
  <c r="J27" i="4"/>
  <c r="G27" i="4"/>
  <c r="H27" i="4"/>
  <c r="H32" i="1"/>
  <c r="E28" i="4"/>
  <c r="I28" i="4" s="1"/>
  <c r="G31" i="1"/>
  <c r="I31" i="1" l="1"/>
  <c r="K28" i="4"/>
  <c r="M28" i="4"/>
  <c r="L28" i="4"/>
  <c r="J28" i="4"/>
  <c r="G28" i="4"/>
  <c r="H28" i="4"/>
  <c r="E29" i="4"/>
  <c r="I29" i="4" s="1"/>
  <c r="G32" i="1"/>
  <c r="H33" i="1"/>
  <c r="I32" i="1" l="1"/>
  <c r="K29" i="4"/>
  <c r="L29" i="4"/>
  <c r="M29" i="4"/>
  <c r="J29" i="4"/>
  <c r="H29" i="4"/>
  <c r="G29" i="4"/>
  <c r="H34" i="1"/>
  <c r="E30" i="4"/>
  <c r="I30" i="4" s="1"/>
  <c r="G33" i="1"/>
  <c r="I33" i="1" l="1"/>
  <c r="K30" i="4"/>
  <c r="M30" i="4"/>
  <c r="L30" i="4"/>
  <c r="J30" i="4"/>
  <c r="G30" i="4"/>
  <c r="H30" i="4"/>
  <c r="E31" i="4"/>
  <c r="I31" i="4" s="1"/>
  <c r="G34" i="1"/>
  <c r="H35" i="1"/>
  <c r="I34" i="1" l="1"/>
  <c r="K31" i="4"/>
  <c r="L31" i="4"/>
  <c r="M31" i="4"/>
  <c r="J31" i="4"/>
  <c r="G31" i="4"/>
  <c r="H31" i="4"/>
  <c r="H36" i="1"/>
  <c r="E32" i="4"/>
  <c r="I32" i="4" s="1"/>
  <c r="G35" i="1"/>
  <c r="I35" i="1" l="1"/>
  <c r="K32" i="4"/>
  <c r="L32" i="4"/>
  <c r="M32" i="4"/>
  <c r="J32" i="4"/>
  <c r="G32" i="4"/>
  <c r="H32" i="4"/>
  <c r="E33" i="4"/>
  <c r="I33" i="4" s="1"/>
  <c r="G36" i="1"/>
  <c r="H37" i="1"/>
  <c r="I36" i="1" l="1"/>
  <c r="K33" i="4"/>
  <c r="L33" i="4"/>
  <c r="M33" i="4"/>
  <c r="J33" i="4"/>
  <c r="G33" i="4"/>
  <c r="I37" i="1" s="1"/>
  <c r="H33" i="4"/>
  <c r="H38" i="1"/>
  <c r="E34" i="4"/>
  <c r="I34" i="4" s="1"/>
  <c r="G37" i="1"/>
  <c r="K34" i="4" l="1"/>
  <c r="L34" i="4"/>
  <c r="M34" i="4"/>
  <c r="J34" i="4"/>
  <c r="H34" i="4"/>
  <c r="G34" i="4"/>
  <c r="E35" i="4"/>
  <c r="I35" i="4" s="1"/>
  <c r="G38" i="1"/>
  <c r="H39" i="1"/>
  <c r="I38" i="1" l="1"/>
  <c r="K35" i="4"/>
  <c r="L35" i="4"/>
  <c r="M35" i="4"/>
  <c r="J35" i="4"/>
  <c r="H35" i="4"/>
  <c r="G35" i="4"/>
  <c r="I39" i="1" s="1"/>
  <c r="H40" i="1"/>
  <c r="E36" i="4"/>
  <c r="I36" i="4" s="1"/>
  <c r="G39" i="1"/>
  <c r="K36" i="4" l="1"/>
  <c r="L36" i="4"/>
  <c r="M36" i="4"/>
  <c r="J36" i="4"/>
  <c r="H36" i="4"/>
  <c r="G36" i="4"/>
  <c r="I40" i="1" s="1"/>
  <c r="E37" i="4"/>
  <c r="I37" i="4" s="1"/>
  <c r="G40" i="1"/>
  <c r="H41" i="1"/>
  <c r="K37" i="4" l="1"/>
  <c r="L37" i="4"/>
  <c r="M37" i="4"/>
  <c r="J37" i="4"/>
  <c r="H37" i="4"/>
  <c r="G37" i="4"/>
  <c r="H42" i="1"/>
  <c r="E38" i="4"/>
  <c r="I38" i="4" s="1"/>
  <c r="G41" i="1"/>
  <c r="I41" i="1" l="1"/>
  <c r="K38" i="4"/>
  <c r="M38" i="4"/>
  <c r="L38" i="4"/>
  <c r="J38" i="4"/>
  <c r="H38" i="4"/>
  <c r="G38" i="4"/>
  <c r="I42" i="1" s="1"/>
  <c r="E39" i="4"/>
  <c r="I39" i="4" s="1"/>
  <c r="G42" i="1"/>
  <c r="H43" i="1"/>
  <c r="K39" i="4" l="1"/>
  <c r="M39" i="4"/>
  <c r="L39" i="4"/>
  <c r="J39" i="4"/>
  <c r="H39" i="4"/>
  <c r="G39" i="4"/>
  <c r="H44" i="1"/>
  <c r="E40" i="4"/>
  <c r="I40" i="4" s="1"/>
  <c r="G43" i="1"/>
  <c r="I43" i="1" l="1"/>
  <c r="K40" i="4"/>
  <c r="M40" i="4"/>
  <c r="L40" i="4"/>
  <c r="J40" i="4"/>
  <c r="H40" i="4"/>
  <c r="G40" i="4"/>
  <c r="E41" i="4"/>
  <c r="I41" i="4" s="1"/>
  <c r="G44" i="1"/>
  <c r="H45" i="1"/>
  <c r="I44" i="1" l="1"/>
  <c r="K41" i="4"/>
  <c r="M41" i="4"/>
  <c r="L41" i="4"/>
  <c r="J41" i="4"/>
  <c r="G41" i="4"/>
  <c r="H41" i="4"/>
  <c r="H46" i="1"/>
  <c r="E42" i="4"/>
  <c r="I42" i="4" s="1"/>
  <c r="G45" i="1"/>
  <c r="I45" i="1" l="1"/>
  <c r="K42" i="4"/>
  <c r="M42" i="4"/>
  <c r="L42" i="4"/>
  <c r="J42" i="4"/>
  <c r="H42" i="4"/>
  <c r="G42" i="4"/>
  <c r="I46" i="1" s="1"/>
  <c r="E43" i="4"/>
  <c r="I43" i="4" s="1"/>
  <c r="G46" i="1"/>
  <c r="H47" i="1"/>
  <c r="K43" i="4" l="1"/>
  <c r="M43" i="4"/>
  <c r="L43" i="4"/>
  <c r="J43" i="4"/>
  <c r="G43" i="4"/>
  <c r="H43" i="4"/>
  <c r="H48" i="1"/>
  <c r="E44" i="4"/>
  <c r="I44" i="4" s="1"/>
  <c r="G47" i="1"/>
  <c r="I47" i="1" l="1"/>
  <c r="K44" i="4"/>
  <c r="L44" i="4"/>
  <c r="M44" i="4"/>
  <c r="J44" i="4"/>
  <c r="G44" i="4"/>
  <c r="H44" i="4"/>
  <c r="E45" i="4"/>
  <c r="I45" i="4" s="1"/>
  <c r="G48" i="1"/>
  <c r="H49" i="1"/>
  <c r="I48" i="1" l="1"/>
  <c r="K45" i="4"/>
  <c r="M45" i="4"/>
  <c r="L45" i="4"/>
  <c r="J45" i="4"/>
  <c r="G45" i="4"/>
  <c r="H45" i="4"/>
  <c r="H50" i="1"/>
  <c r="E46" i="4"/>
  <c r="I46" i="4" s="1"/>
  <c r="G49" i="1"/>
  <c r="I49" i="1" l="1"/>
  <c r="K46" i="4"/>
  <c r="L46" i="4"/>
  <c r="M46" i="4"/>
  <c r="J46" i="4"/>
  <c r="G46" i="4"/>
  <c r="H46" i="4"/>
  <c r="E47" i="4"/>
  <c r="I47" i="4" s="1"/>
  <c r="G50" i="1"/>
  <c r="H51" i="1"/>
  <c r="I50" i="1" l="1"/>
  <c r="K47" i="4"/>
  <c r="L47" i="4"/>
  <c r="M47" i="4"/>
  <c r="J47" i="4"/>
  <c r="G47" i="4"/>
  <c r="I51" i="1" s="1"/>
  <c r="H47" i="4"/>
  <c r="H52" i="1"/>
  <c r="E48" i="4"/>
  <c r="I48" i="4" s="1"/>
  <c r="G51" i="1"/>
  <c r="K48" i="4" l="1"/>
  <c r="L48" i="4"/>
  <c r="M48" i="4"/>
  <c r="J48" i="4"/>
  <c r="G48" i="4"/>
  <c r="H48" i="4"/>
  <c r="E49" i="4"/>
  <c r="I49" i="4" s="1"/>
  <c r="G52" i="1"/>
  <c r="H53" i="1"/>
  <c r="I52" i="1" l="1"/>
  <c r="K49" i="4"/>
  <c r="L49" i="4"/>
  <c r="M49" i="4"/>
  <c r="J49" i="4"/>
  <c r="G49" i="4"/>
  <c r="H49" i="4"/>
  <c r="H54" i="1"/>
  <c r="E50" i="4"/>
  <c r="I50" i="4" s="1"/>
  <c r="G53" i="1"/>
  <c r="I53" i="1" l="1"/>
  <c r="K50" i="4"/>
  <c r="L50" i="4"/>
  <c r="M50" i="4"/>
  <c r="J50" i="4"/>
  <c r="H50" i="4"/>
  <c r="G50" i="4"/>
  <c r="E51" i="4"/>
  <c r="I51" i="4" s="1"/>
  <c r="G54" i="1"/>
  <c r="H55" i="1"/>
  <c r="I54" i="1" l="1"/>
  <c r="K51" i="4"/>
  <c r="L51" i="4"/>
  <c r="M51" i="4"/>
  <c r="J51" i="4"/>
  <c r="H51" i="4"/>
  <c r="G51" i="4"/>
  <c r="H56" i="1"/>
  <c r="E52" i="4"/>
  <c r="I52" i="4" s="1"/>
  <c r="G55" i="1"/>
  <c r="I55" i="1" l="1"/>
  <c r="K52" i="4"/>
  <c r="L52" i="4"/>
  <c r="M52" i="4"/>
  <c r="J52" i="4"/>
  <c r="H52" i="4"/>
  <c r="G52" i="4"/>
  <c r="E53" i="4"/>
  <c r="I53" i="4" s="1"/>
  <c r="G56" i="1"/>
  <c r="H57" i="1"/>
  <c r="I56" i="1" l="1"/>
  <c r="K53" i="4"/>
  <c r="L53" i="4"/>
  <c r="M53" i="4"/>
  <c r="J53" i="4"/>
  <c r="H53" i="4"/>
  <c r="G53" i="4"/>
  <c r="H58" i="1"/>
  <c r="E54" i="4"/>
  <c r="I54" i="4" s="1"/>
  <c r="G57" i="1"/>
  <c r="I57" i="1" l="1"/>
  <c r="K54" i="4"/>
  <c r="M54" i="4"/>
  <c r="L54" i="4"/>
  <c r="J54" i="4"/>
  <c r="H54" i="4"/>
  <c r="G54" i="4"/>
  <c r="I58" i="1" s="1"/>
  <c r="E55" i="4"/>
  <c r="I55" i="4" s="1"/>
  <c r="G58" i="1"/>
  <c r="H59" i="1"/>
  <c r="K55" i="4" l="1"/>
  <c r="M55" i="4"/>
  <c r="L55" i="4"/>
  <c r="J55" i="4"/>
  <c r="H55" i="4"/>
  <c r="G55" i="4"/>
  <c r="H60" i="1"/>
  <c r="E56" i="4"/>
  <c r="I56" i="4" s="1"/>
  <c r="G59" i="1"/>
  <c r="I59" i="1" l="1"/>
  <c r="K56" i="4"/>
  <c r="M56" i="4"/>
  <c r="L56" i="4"/>
  <c r="J56" i="4"/>
  <c r="H56" i="4"/>
  <c r="G56" i="4"/>
  <c r="E57" i="4"/>
  <c r="I57" i="4" s="1"/>
  <c r="G60" i="1"/>
  <c r="H61" i="1"/>
  <c r="I60" i="1" l="1"/>
  <c r="K57" i="4"/>
  <c r="M57" i="4"/>
  <c r="L57" i="4"/>
  <c r="J57" i="4"/>
  <c r="H57" i="4"/>
  <c r="G57" i="4"/>
  <c r="I61" i="1" s="1"/>
  <c r="H62" i="1"/>
  <c r="E58" i="4"/>
  <c r="I58" i="4" s="1"/>
  <c r="G61" i="1"/>
  <c r="K58" i="4" l="1"/>
  <c r="M58" i="4"/>
  <c r="L58" i="4"/>
  <c r="J58" i="4"/>
  <c r="H58" i="4"/>
  <c r="G58" i="4"/>
  <c r="E59" i="4"/>
  <c r="I59" i="4" s="1"/>
  <c r="G62" i="1"/>
  <c r="H63" i="1"/>
  <c r="I62" i="1" l="1"/>
  <c r="K59" i="4"/>
  <c r="M59" i="4"/>
  <c r="L59" i="4"/>
  <c r="J59" i="4"/>
  <c r="G59" i="4"/>
  <c r="I63" i="1" s="1"/>
  <c r="H59" i="4"/>
  <c r="H64" i="1"/>
  <c r="E60" i="4"/>
  <c r="I60" i="4" s="1"/>
  <c r="G63" i="1"/>
  <c r="K60" i="4" l="1"/>
  <c r="M60" i="4"/>
  <c r="L60" i="4"/>
  <c r="J60" i="4"/>
  <c r="G60" i="4"/>
  <c r="H60" i="4"/>
  <c r="E61" i="4"/>
  <c r="I61" i="4" s="1"/>
  <c r="G64" i="1"/>
  <c r="H65" i="1"/>
  <c r="I64" i="1" l="1"/>
  <c r="K61" i="4"/>
  <c r="M61" i="4"/>
  <c r="L61" i="4"/>
  <c r="J61" i="4"/>
  <c r="G61" i="4"/>
  <c r="H61" i="4"/>
  <c r="H66" i="1"/>
  <c r="E62" i="4"/>
  <c r="I62" i="4" s="1"/>
  <c r="G65" i="1"/>
  <c r="I65" i="1" l="1"/>
  <c r="K62" i="4"/>
  <c r="L62" i="4"/>
  <c r="M62" i="4"/>
  <c r="J62" i="4"/>
  <c r="G62" i="4"/>
  <c r="I66" i="1" s="1"/>
  <c r="H62" i="4"/>
  <c r="E63" i="4"/>
  <c r="I63" i="4" s="1"/>
  <c r="G66" i="1"/>
  <c r="H67" i="1"/>
  <c r="K63" i="4" l="1"/>
  <c r="L63" i="4"/>
  <c r="M63" i="4"/>
  <c r="J63" i="4"/>
  <c r="G63" i="4"/>
  <c r="I67" i="1" s="1"/>
  <c r="H63" i="4"/>
  <c r="H68" i="1"/>
  <c r="E64" i="4"/>
  <c r="I64" i="4" s="1"/>
  <c r="G67" i="1"/>
  <c r="K64" i="4" l="1"/>
  <c r="L64" i="4"/>
  <c r="M64" i="4"/>
  <c r="J64" i="4"/>
  <c r="G64" i="4"/>
  <c r="I68" i="1" s="1"/>
  <c r="H64" i="4"/>
  <c r="E65" i="4"/>
  <c r="I65" i="4" s="1"/>
  <c r="G68" i="1"/>
  <c r="H69" i="1"/>
  <c r="K65" i="4" l="1"/>
  <c r="L65" i="4"/>
  <c r="M65" i="4"/>
  <c r="J65" i="4"/>
  <c r="G65" i="4"/>
  <c r="H65" i="4"/>
  <c r="H70" i="1"/>
  <c r="E66" i="4"/>
  <c r="I66" i="4" s="1"/>
  <c r="G69" i="1"/>
  <c r="I69" i="1" l="1"/>
  <c r="K66" i="4"/>
  <c r="L66" i="4"/>
  <c r="M66" i="4"/>
  <c r="J66" i="4"/>
  <c r="H66" i="4"/>
  <c r="G66" i="4"/>
  <c r="E67" i="4"/>
  <c r="I67" i="4" s="1"/>
  <c r="G70" i="1"/>
  <c r="H71" i="1"/>
  <c r="I70" i="1" l="1"/>
  <c r="K67" i="4"/>
  <c r="L67" i="4"/>
  <c r="M67" i="4"/>
  <c r="J67" i="4"/>
  <c r="H67" i="4"/>
  <c r="G67" i="4"/>
  <c r="I71" i="1" s="1"/>
  <c r="H72" i="1"/>
  <c r="E68" i="4"/>
  <c r="I68" i="4" s="1"/>
  <c r="G71" i="1"/>
  <c r="K68" i="4" l="1"/>
  <c r="M68" i="4"/>
  <c r="L68" i="4"/>
  <c r="J68" i="4"/>
  <c r="H68" i="4"/>
  <c r="G68" i="4"/>
  <c r="I72" i="1" s="1"/>
  <c r="E69" i="4"/>
  <c r="I69" i="4" s="1"/>
  <c r="G72" i="1"/>
  <c r="H73" i="1"/>
  <c r="K69" i="4" l="1"/>
  <c r="M69" i="4"/>
  <c r="L69" i="4"/>
  <c r="J69" i="4"/>
  <c r="H69" i="4"/>
  <c r="G69" i="4"/>
  <c r="I73" i="1" s="1"/>
  <c r="H74" i="1"/>
  <c r="E70" i="4"/>
  <c r="I70" i="4" s="1"/>
  <c r="G73" i="1"/>
  <c r="K70" i="4" l="1"/>
  <c r="M70" i="4"/>
  <c r="L70" i="4"/>
  <c r="J70" i="4"/>
  <c r="H70" i="4"/>
  <c r="G70" i="4"/>
  <c r="E71" i="4"/>
  <c r="I71" i="4" s="1"/>
  <c r="G74" i="1"/>
  <c r="H75" i="1"/>
  <c r="I74" i="1" l="1"/>
  <c r="K71" i="4"/>
  <c r="M71" i="4"/>
  <c r="L71" i="4"/>
  <c r="J71" i="4"/>
  <c r="H71" i="4"/>
  <c r="G71" i="4"/>
  <c r="H76" i="1"/>
  <c r="E72" i="4"/>
  <c r="I72" i="4" s="1"/>
  <c r="G75" i="1"/>
  <c r="I75" i="1" l="1"/>
  <c r="K72" i="4"/>
  <c r="M72" i="4"/>
  <c r="L72" i="4"/>
  <c r="J72" i="4"/>
  <c r="H72" i="4"/>
  <c r="G72" i="4"/>
  <c r="G76" i="1"/>
  <c r="I76" i="1" l="1"/>
  <c r="M6" i="1" s="1"/>
</calcChain>
</file>

<file path=xl/sharedStrings.xml><?xml version="1.0" encoding="utf-8"?>
<sst xmlns="http://schemas.openxmlformats.org/spreadsheetml/2006/main" count="146" uniqueCount="131">
  <si>
    <t>Plan</t>
  </si>
  <si>
    <t>Current Age</t>
  </si>
  <si>
    <t>Age Payments Begin</t>
  </si>
  <si>
    <t>Years of Payment</t>
  </si>
  <si>
    <t>Age</t>
  </si>
  <si>
    <t>Year</t>
  </si>
  <si>
    <t>Total Payment</t>
  </si>
  <si>
    <t>Total Years of Payment</t>
  </si>
  <si>
    <t>Age of Last Payment</t>
  </si>
  <si>
    <t>Plan #1</t>
  </si>
  <si>
    <t>Plan #2</t>
  </si>
  <si>
    <t>Plan #3</t>
  </si>
  <si>
    <t>Plan #4</t>
  </si>
  <si>
    <t>Plan #5</t>
  </si>
  <si>
    <t>Plan #6</t>
  </si>
  <si>
    <t>Plan #7</t>
  </si>
  <si>
    <t>Client selections</t>
  </si>
  <si>
    <t>Age payments begin</t>
  </si>
  <si>
    <t>Current age</t>
  </si>
  <si>
    <t>Description</t>
  </si>
  <si>
    <t>Payments start at age 65 and go to age 94; initial payment is $25,000 and payments increase by $1000 per year.</t>
  </si>
  <si>
    <t>Annuitant decides when payments start, and they go to age 110; $7,200 per year.</t>
  </si>
  <si>
    <t>Annuitant decides which age the payments start and end at. The annuitant receives a total of $100,000 in payments and equal payments are made each year.</t>
  </si>
  <si>
    <t>Payments start at age 60 and go to age 100. Each year, the annuitant gets 1000 per year they’ve been alive. For example, at age 64 the annuitant would receieve $64,000.</t>
  </si>
  <si>
    <t>Annuitant decides which age the payments start and end at. The first half of the payments are $19,000 each, whereas the second half of the payments are $25,000 each.</t>
  </si>
  <si>
    <t>Annuitant decides which age the payments start and end at; $15000 per year.</t>
  </si>
  <si>
    <t>Annuitant decides which age the payments start and end at. $30,000 is paid every second year, with the first payment on the start year.</t>
  </si>
  <si>
    <t>ANNUITY ILLUSTRATION TOOL</t>
  </si>
  <si>
    <t>Annuity Payment</t>
  </si>
  <si>
    <t>Client # 100</t>
  </si>
  <si>
    <t>Client # 99</t>
  </si>
  <si>
    <t>Client # 98</t>
  </si>
  <si>
    <t>Client # 97</t>
  </si>
  <si>
    <t>Client # 96</t>
  </si>
  <si>
    <t>Client # 95</t>
  </si>
  <si>
    <t>Client # 94</t>
  </si>
  <si>
    <t>Client # 93</t>
  </si>
  <si>
    <t>Client # 92</t>
  </si>
  <si>
    <t>Client # 91</t>
  </si>
  <si>
    <t>Client # 90</t>
  </si>
  <si>
    <t>Client # 89</t>
  </si>
  <si>
    <t>Client # 88</t>
  </si>
  <si>
    <t>Client # 87</t>
  </si>
  <si>
    <t>Client # 86</t>
  </si>
  <si>
    <t>Client # 85</t>
  </si>
  <si>
    <t>Client # 84</t>
  </si>
  <si>
    <t>Client # 83</t>
  </si>
  <si>
    <t>Client # 82</t>
  </si>
  <si>
    <t>Client # 81</t>
  </si>
  <si>
    <t>Client # 80</t>
  </si>
  <si>
    <t>Client # 79</t>
  </si>
  <si>
    <t>Client # 78</t>
  </si>
  <si>
    <t>Client # 77</t>
  </si>
  <si>
    <t>Client # 76</t>
  </si>
  <si>
    <t>Client # 75</t>
  </si>
  <si>
    <t>Client # 74</t>
  </si>
  <si>
    <t>Client # 73</t>
  </si>
  <si>
    <t>Client # 72</t>
  </si>
  <si>
    <t>Client # 71</t>
  </si>
  <si>
    <t>Client # 70</t>
  </si>
  <si>
    <t>Client # 69</t>
  </si>
  <si>
    <t>Client # 68</t>
  </si>
  <si>
    <t>Client # 67</t>
  </si>
  <si>
    <t>Client # 66</t>
  </si>
  <si>
    <t>Client # 65</t>
  </si>
  <si>
    <t>Client # 64</t>
  </si>
  <si>
    <t>Client # 63</t>
  </si>
  <si>
    <t>Client # 62</t>
  </si>
  <si>
    <t>Client # 61</t>
  </si>
  <si>
    <t>Client # 60</t>
  </si>
  <si>
    <t>Client # 59</t>
  </si>
  <si>
    <t>Client # 58</t>
  </si>
  <si>
    <t>Client # 57</t>
  </si>
  <si>
    <t>Client # 56</t>
  </si>
  <si>
    <t>Client # 55</t>
  </si>
  <si>
    <t>Client # 54</t>
  </si>
  <si>
    <t>Client # 53</t>
  </si>
  <si>
    <t>Client # 52</t>
  </si>
  <si>
    <t>Client # 51</t>
  </si>
  <si>
    <t>Client # 50</t>
  </si>
  <si>
    <t>Client # 49</t>
  </si>
  <si>
    <t>Client # 48</t>
  </si>
  <si>
    <t>Client # 47</t>
  </si>
  <si>
    <t>Client # 46</t>
  </si>
  <si>
    <t>Client # 45</t>
  </si>
  <si>
    <t>Client # 44</t>
  </si>
  <si>
    <t>Client # 43</t>
  </si>
  <si>
    <t>Client # 42</t>
  </si>
  <si>
    <t>Client # 41</t>
  </si>
  <si>
    <t>Client # 40</t>
  </si>
  <si>
    <t>Client # 39</t>
  </si>
  <si>
    <t>Client # 38</t>
  </si>
  <si>
    <t>Client # 37</t>
  </si>
  <si>
    <t>Client # 36</t>
  </si>
  <si>
    <t>Client # 35</t>
  </si>
  <si>
    <t>Client # 34</t>
  </si>
  <si>
    <t>Client # 33</t>
  </si>
  <si>
    <t>Client # 32</t>
  </si>
  <si>
    <t>Client # 31</t>
  </si>
  <si>
    <t>Client # 30</t>
  </si>
  <si>
    <t>Client # 29</t>
  </si>
  <si>
    <t>Client # 28</t>
  </si>
  <si>
    <t>Client # 27</t>
  </si>
  <si>
    <t>Client # 26</t>
  </si>
  <si>
    <t>Client # 25</t>
  </si>
  <si>
    <t>Client # 24</t>
  </si>
  <si>
    <t>Client # 23</t>
  </si>
  <si>
    <t>Client # 22</t>
  </si>
  <si>
    <t>Client # 21</t>
  </si>
  <si>
    <t>Client # 20</t>
  </si>
  <si>
    <t>Client # 19</t>
  </si>
  <si>
    <t>Client # 18</t>
  </si>
  <si>
    <t>Client # 17</t>
  </si>
  <si>
    <t>Client # 16</t>
  </si>
  <si>
    <t>Client # 15</t>
  </si>
  <si>
    <t>Client # 14</t>
  </si>
  <si>
    <t>Client # 13</t>
  </si>
  <si>
    <t>Client # 12</t>
  </si>
  <si>
    <t>Client # 11</t>
  </si>
  <si>
    <t>Client # 10</t>
  </si>
  <si>
    <t>Client # 9</t>
  </si>
  <si>
    <t>Client # 8</t>
  </si>
  <si>
    <t>Client # 7</t>
  </si>
  <si>
    <t>Client # 6</t>
  </si>
  <si>
    <t>Client # 5</t>
  </si>
  <si>
    <t>Client # 4</t>
  </si>
  <si>
    <t>Client # 3</t>
  </si>
  <si>
    <t>Client # 2</t>
  </si>
  <si>
    <t>Client # 1</t>
  </si>
  <si>
    <t>Plan #</t>
  </si>
  <si>
    <t>Client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</si>
</sst>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&quot;$&quot;#,##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" fillId="0" borderId="0"/>
  </cellStyleXfs>
  <cellXfs count="42">
    <xf numFmtId="0" fontId="0" fillId="0" borderId="0" xfId="0"/>
    <xf numFmtId="0" fontId="0" fillId="0" borderId="1" xfId="0" applyBorder="1"/>
    <xf numFmtId="0" fontId="3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164" fontId="0" fillId="0" borderId="3" xfId="1" applyNumberFormat="1" applyFont="1" applyBorder="1"/>
    <xf numFmtId="164" fontId="0" fillId="0" borderId="2" xfId="1" applyNumberFormat="1" applyFont="1" applyBorder="1"/>
    <xf numFmtId="164" fontId="0" fillId="0" borderId="7" xfId="1" applyNumberFormat="1" applyFont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0" fontId="3" fillId="3" borderId="1" xfId="0" applyFont="1" applyFill="1" applyBorder="1"/>
    <xf numFmtId="0" fontId="3" fillId="3" borderId="4" xfId="0" applyFont="1" applyFill="1" applyBorder="1"/>
    <xf numFmtId="44" fontId="0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0" fontId="3" fillId="4" borderId="1" xfId="0" applyFont="1" applyFill="1" applyBorder="1"/>
    <xf numFmtId="0" fontId="0" fillId="5" borderId="0" xfId="0" applyFill="1"/>
    <xf numFmtId="0" fontId="0" fillId="0" borderId="0" xfId="0" applyAlignment="1">
      <alignment horizontal="right"/>
    </xf>
    <xf numFmtId="44" fontId="0" fillId="0" borderId="0" xfId="1" applyNumberFormat="1" applyFont="1" applyAlignment="1">
      <alignment horizontal="left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6" borderId="0" xfId="0" applyFont="1" applyFill="1"/>
    <xf numFmtId="165" fontId="7" fillId="6" borderId="0" xfId="1" applyNumberFormat="1" applyFont="1" applyFill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0" borderId="0" xfId="2"/>
    <xf numFmtId="0" fontId="9" fillId="0" borderId="1" xfId="2" applyFont="1" applyBorder="1"/>
    <xf numFmtId="0" fontId="1" fillId="0" borderId="1" xfId="2" applyBorder="1"/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left"/>
    </xf>
    <xf numFmtId="0" fontId="3" fillId="4" borderId="4" xfId="0" applyFont="1" applyFill="1" applyBorder="1" applyAlignment="1">
      <alignment horizontal="left"/>
    </xf>
    <xf numFmtId="0" fontId="3" fillId="4" borderId="8" xfId="0" applyFont="1" applyFill="1" applyBorder="1" applyAlignment="1">
      <alignment horizontal="left"/>
    </xf>
    <xf numFmtId="0" fontId="3" fillId="4" borderId="9" xfId="0" applyFont="1" applyFill="1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6" fillId="8" borderId="1" xfId="2" applyFont="1" applyFill="1" applyBorder="1" applyAlignment="1">
      <alignment horizontal="left"/>
    </xf>
  </cellXfs>
  <cellStyles count="3">
    <cellStyle name="Currency" xfId="1" builtinId="4"/>
    <cellStyle name="Normal" xfId="0" builtinId="0"/>
    <cellStyle name="Normal 2" xfId="2" xr:uid="{D3ED9AAF-75E2-4930-B8CE-13E3EDF932D2}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133350</xdr:rowOff>
    </xdr:from>
    <xdr:to>
      <xdr:col>5</xdr:col>
      <xdr:colOff>19050</xdr:colOff>
      <xdr:row>14</xdr:row>
      <xdr:rowOff>190500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50A8B6-55D6-4083-849C-169DE83A4FEA}"/>
            </a:ext>
          </a:extLst>
        </xdr:cNvPr>
        <xdr:cNvSpPr/>
      </xdr:nvSpPr>
      <xdr:spPr>
        <a:xfrm>
          <a:off x="304800" y="1028700"/>
          <a:ext cx="2343150" cy="2162175"/>
        </a:xfrm>
        <a:prstGeom prst="roundRect">
          <a:avLst>
            <a:gd name="adj" fmla="val 4003"/>
          </a:avLst>
        </a:prstGeom>
        <a:noFill/>
        <a:ln w="127000"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771525</xdr:colOff>
      <xdr:row>13</xdr:row>
      <xdr:rowOff>19051</xdr:rowOff>
    </xdr:from>
    <xdr:to>
      <xdr:col>2</xdr:col>
      <xdr:colOff>1390650</xdr:colOff>
      <xdr:row>14</xdr:row>
      <xdr:rowOff>85726</xdr:rowOff>
    </xdr:to>
    <xdr:sp macro="[0]!Sheet1.clear_choic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1D4576-40C3-41C7-9853-10BB5721DC9E}"/>
            </a:ext>
          </a:extLst>
        </xdr:cNvPr>
        <xdr:cNvSpPr/>
      </xdr:nvSpPr>
      <xdr:spPr>
        <a:xfrm>
          <a:off x="1609725" y="3067051"/>
          <a:ext cx="619125" cy="266700"/>
        </a:xfrm>
        <a:prstGeom prst="roundRect">
          <a:avLst>
            <a:gd name="adj" fmla="val 20968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Clear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19049</xdr:colOff>
      <xdr:row>3</xdr:row>
      <xdr:rowOff>133350</xdr:rowOff>
    </xdr:from>
    <xdr:to>
      <xdr:col>14</xdr:col>
      <xdr:colOff>0</xdr:colOff>
      <xdr:row>8</xdr:row>
      <xdr:rowOff>180975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1747CEC-311B-43E6-91E4-8FCF51F0BE2D}"/>
            </a:ext>
          </a:extLst>
        </xdr:cNvPr>
        <xdr:cNvSpPr/>
      </xdr:nvSpPr>
      <xdr:spPr>
        <a:xfrm>
          <a:off x="6857999" y="1028700"/>
          <a:ext cx="2743201" cy="895350"/>
        </a:xfrm>
        <a:prstGeom prst="roundRect">
          <a:avLst>
            <a:gd name="adj" fmla="val 7813"/>
          </a:avLst>
        </a:prstGeom>
        <a:noFill/>
        <a:ln w="165100"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12</xdr:col>
      <xdr:colOff>728662</xdr:colOff>
      <xdr:row>14</xdr:row>
      <xdr:rowOff>152400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AFE4BA8-10E0-4718-82DD-4D79FE834EB6}"/>
            </a:ext>
          </a:extLst>
        </xdr:cNvPr>
        <xdr:cNvSpPr txBox="1"/>
      </xdr:nvSpPr>
      <xdr:spPr>
        <a:xfrm>
          <a:off x="8443912" y="3171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0D2CE-00F4-5C49-8FA0-A92316521FE6}">
  <sheetPr codeName="Sheet1">
    <pageSetUpPr autoPageBreaks="0"/>
  </sheetPr>
  <dimension ref="B1:O76"/>
  <sheetViews>
    <sheetView showGridLines="0" tabSelected="1" zoomScaleNormal="100" workbookViewId="0">
      <selection activeCell="Q14" sqref="Q14"/>
    </sheetView>
  </sheetViews>
  <sheetFormatPr defaultColWidth="11" defaultRowHeight="15.75" x14ac:dyDescent="0.25"/>
  <cols>
    <col min="1" max="1" width="4.25" customWidth="1"/>
    <col min="2" max="2" width="1.25" customWidth="1"/>
    <col min="3" max="3" width="20" customWidth="1"/>
    <col min="4" max="4" width="7.625" style="15" customWidth="1"/>
    <col min="5" max="5" width="1.625" customWidth="1"/>
    <col min="6" max="6" width="17.75" customWidth="1"/>
    <col min="7" max="8" width="7.5" customWidth="1"/>
    <col min="9" max="9" width="18.5" customWidth="1"/>
    <col min="10" max="10" width="4" customWidth="1"/>
    <col min="11" max="11" width="1.625" customWidth="1"/>
    <col min="12" max="12" width="20.875" bestFit="1" customWidth="1"/>
    <col min="13" max="13" width="12.125" customWidth="1"/>
    <col min="14" max="14" width="1.625" customWidth="1"/>
    <col min="15" max="15" width="11" style="4" customWidth="1"/>
  </cols>
  <sheetData>
    <row r="1" spans="2:14" ht="13.5" customHeight="1" x14ac:dyDescent="0.25"/>
    <row r="2" spans="2:14" ht="25.5" customHeight="1" x14ac:dyDescent="0.35">
      <c r="F2" s="35" t="s">
        <v>27</v>
      </c>
      <c r="G2" s="35"/>
      <c r="H2" s="35"/>
      <c r="I2" s="35"/>
      <c r="J2" s="35"/>
    </row>
    <row r="3" spans="2:14" ht="32.1" customHeight="1" x14ac:dyDescent="0.25"/>
    <row r="4" spans="2:14" x14ac:dyDescent="0.25">
      <c r="G4" s="24" t="s">
        <v>4</v>
      </c>
      <c r="H4" s="24" t="s">
        <v>5</v>
      </c>
      <c r="I4" s="23" t="s">
        <v>28</v>
      </c>
    </row>
    <row r="5" spans="2:14" ht="1.5" customHeight="1" x14ac:dyDescent="0.25">
      <c r="B5" s="29"/>
      <c r="C5" s="29"/>
      <c r="D5" s="30"/>
      <c r="E5" s="29"/>
      <c r="G5" s="24"/>
      <c r="H5" s="24"/>
      <c r="I5" s="2"/>
      <c r="J5" s="20"/>
      <c r="K5" s="21"/>
      <c r="L5" s="17"/>
      <c r="M5" s="17"/>
      <c r="N5" s="17"/>
    </row>
    <row r="6" spans="2:14" ht="17.100000000000001" customHeight="1" x14ac:dyDescent="0.25">
      <c r="B6" s="29"/>
      <c r="C6" s="31" t="s">
        <v>0</v>
      </c>
      <c r="D6" s="40" t="s">
        <v>9</v>
      </c>
      <c r="E6" s="29"/>
      <c r="G6" s="22">
        <f>'Payment Calculator'!E2</f>
        <v>40</v>
      </c>
      <c r="H6" s="22">
        <f>'Payment Calculator'!F2</f>
        <v>1</v>
      </c>
      <c r="I6" s="19">
        <f t="shared" ref="I6:I37" si="0">IF(H6="","", HLOOKUP($D$6, plan_vs_payment, H6+1))</f>
        <v>0</v>
      </c>
      <c r="K6" s="28"/>
      <c r="L6" s="25" t="s">
        <v>6</v>
      </c>
      <c r="M6" s="26">
        <f>SUM(I6:I76)</f>
        <v>300000</v>
      </c>
      <c r="N6" s="28"/>
    </row>
    <row r="7" spans="2:14" ht="17.100000000000001" customHeight="1" x14ac:dyDescent="0.25">
      <c r="B7" s="29"/>
      <c r="C7" s="29"/>
      <c r="D7" s="30"/>
      <c r="E7" s="29"/>
      <c r="G7" s="22">
        <f>'Payment Calculator'!E3</f>
        <v>41</v>
      </c>
      <c r="H7" s="22">
        <f>'Payment Calculator'!F3</f>
        <v>2</v>
      </c>
      <c r="I7" s="14">
        <f t="shared" si="0"/>
        <v>0</v>
      </c>
      <c r="K7" s="28"/>
      <c r="L7" s="25" t="s">
        <v>7</v>
      </c>
      <c r="M7" s="27">
        <f>IF(D8 = "", "", D12)</f>
        <v>20</v>
      </c>
      <c r="N7" s="28"/>
    </row>
    <row r="8" spans="2:14" ht="17.100000000000001" customHeight="1" x14ac:dyDescent="0.25">
      <c r="B8" s="29"/>
      <c r="C8" s="31" t="s">
        <v>1</v>
      </c>
      <c r="D8" s="40">
        <v>40</v>
      </c>
      <c r="E8" s="29"/>
      <c r="G8" s="22">
        <f>'Payment Calculator'!E4</f>
        <v>42</v>
      </c>
      <c r="H8" s="22">
        <f>'Payment Calculator'!F4</f>
        <v>3</v>
      </c>
      <c r="I8" s="14">
        <f t="shared" si="0"/>
        <v>0</v>
      </c>
      <c r="K8" s="28"/>
      <c r="L8" s="25" t="s">
        <v>8</v>
      </c>
      <c r="M8" s="27">
        <f>IF(OR(D8 = "", D10 = "", D12 = ""), "", D10+(D12-1))</f>
        <v>64</v>
      </c>
      <c r="N8" s="28"/>
    </row>
    <row r="9" spans="2:14" ht="17.100000000000001" customHeight="1" x14ac:dyDescent="0.25">
      <c r="B9" s="29"/>
      <c r="C9" s="29"/>
      <c r="D9" s="30"/>
      <c r="E9" s="29"/>
      <c r="G9" s="22">
        <f>'Payment Calculator'!E5</f>
        <v>43</v>
      </c>
      <c r="H9" s="22">
        <f>'Payment Calculator'!F5</f>
        <v>4</v>
      </c>
      <c r="I9" s="14">
        <f t="shared" si="0"/>
        <v>0</v>
      </c>
      <c r="K9" s="28"/>
      <c r="L9" s="28"/>
      <c r="M9" s="28"/>
      <c r="N9" s="28"/>
    </row>
    <row r="10" spans="2:14" ht="17.100000000000001" customHeight="1" x14ac:dyDescent="0.25">
      <c r="B10" s="29"/>
      <c r="C10" s="31" t="s">
        <v>2</v>
      </c>
      <c r="D10" s="40">
        <v>45</v>
      </c>
      <c r="E10" s="29"/>
      <c r="G10" s="22">
        <f>'Payment Calculator'!E6</f>
        <v>44</v>
      </c>
      <c r="H10" s="22">
        <f>'Payment Calculator'!F6</f>
        <v>5</v>
      </c>
      <c r="I10" s="14">
        <f t="shared" si="0"/>
        <v>0</v>
      </c>
    </row>
    <row r="11" spans="2:14" ht="17.100000000000001" customHeight="1" x14ac:dyDescent="0.25">
      <c r="B11" s="29"/>
      <c r="C11" s="29"/>
      <c r="D11" s="30"/>
      <c r="E11" s="29"/>
      <c r="G11" s="22">
        <f>'Payment Calculator'!E7</f>
        <v>45</v>
      </c>
      <c r="H11" s="22">
        <f>'Payment Calculator'!F7</f>
        <v>6</v>
      </c>
      <c r="I11" s="14">
        <f t="shared" si="0"/>
        <v>15000</v>
      </c>
    </row>
    <row r="12" spans="2:14" ht="17.100000000000001" customHeight="1" x14ac:dyDescent="0.25">
      <c r="B12" s="29"/>
      <c r="C12" s="31" t="s">
        <v>3</v>
      </c>
      <c r="D12" s="40">
        <v>20</v>
      </c>
      <c r="E12" s="29"/>
      <c r="G12" s="22">
        <f>'Payment Calculator'!E8</f>
        <v>46</v>
      </c>
      <c r="H12" s="22">
        <f>'Payment Calculator'!F8</f>
        <v>7</v>
      </c>
      <c r="I12" s="14">
        <f t="shared" si="0"/>
        <v>15000</v>
      </c>
    </row>
    <row r="13" spans="2:14" ht="17.100000000000001" customHeight="1" x14ac:dyDescent="0.25">
      <c r="B13" s="29"/>
      <c r="C13" s="29"/>
      <c r="D13" s="30"/>
      <c r="E13" s="29"/>
      <c r="G13" s="22">
        <f>'Payment Calculator'!E9</f>
        <v>47</v>
      </c>
      <c r="H13" s="22">
        <f>'Payment Calculator'!F9</f>
        <v>8</v>
      </c>
      <c r="I13" s="14">
        <f t="shared" si="0"/>
        <v>15000</v>
      </c>
    </row>
    <row r="14" spans="2:14" ht="17.100000000000001" customHeight="1" x14ac:dyDescent="0.25">
      <c r="B14" s="29"/>
      <c r="C14" s="29"/>
      <c r="D14" s="30"/>
      <c r="E14" s="29"/>
      <c r="G14" s="22">
        <f>'Payment Calculator'!E10</f>
        <v>48</v>
      </c>
      <c r="H14" s="22">
        <f>'Payment Calculator'!F10</f>
        <v>9</v>
      </c>
      <c r="I14" s="14">
        <f t="shared" si="0"/>
        <v>15000</v>
      </c>
    </row>
    <row r="15" spans="2:14" ht="17.100000000000001" customHeight="1" x14ac:dyDescent="0.25">
      <c r="B15" s="29"/>
      <c r="C15" s="29"/>
      <c r="D15" s="30"/>
      <c r="E15" s="29"/>
      <c r="G15" s="22">
        <f>'Payment Calculator'!E11</f>
        <v>49</v>
      </c>
      <c r="H15" s="22">
        <f>'Payment Calculator'!F11</f>
        <v>10</v>
      </c>
      <c r="I15" s="14">
        <f t="shared" si="0"/>
        <v>15000</v>
      </c>
    </row>
    <row r="16" spans="2:14" ht="17.100000000000001" customHeight="1" x14ac:dyDescent="0.25">
      <c r="G16" s="22">
        <f>'Payment Calculator'!E12</f>
        <v>50</v>
      </c>
      <c r="H16" s="22">
        <f>'Payment Calculator'!F12</f>
        <v>11</v>
      </c>
      <c r="I16" s="14">
        <f t="shared" si="0"/>
        <v>15000</v>
      </c>
    </row>
    <row r="17" spans="7:13" ht="17.100000000000001" customHeight="1" x14ac:dyDescent="0.25">
      <c r="G17" s="22">
        <f>'Payment Calculator'!E13</f>
        <v>51</v>
      </c>
      <c r="H17" s="22">
        <f>'Payment Calculator'!F13</f>
        <v>12</v>
      </c>
      <c r="I17" s="14">
        <f t="shared" si="0"/>
        <v>15000</v>
      </c>
    </row>
    <row r="18" spans="7:13" ht="17.100000000000001" customHeight="1" x14ac:dyDescent="0.25">
      <c r="G18" s="22">
        <f>'Payment Calculator'!E14</f>
        <v>52</v>
      </c>
      <c r="H18" s="22">
        <f>'Payment Calculator'!F14</f>
        <v>13</v>
      </c>
      <c r="I18" s="14">
        <f t="shared" si="0"/>
        <v>15000</v>
      </c>
    </row>
    <row r="19" spans="7:13" ht="17.100000000000001" customHeight="1" x14ac:dyDescent="0.25">
      <c r="G19" s="22">
        <f>'Payment Calculator'!E15</f>
        <v>53</v>
      </c>
      <c r="H19" s="22">
        <f>'Payment Calculator'!F15</f>
        <v>14</v>
      </c>
      <c r="I19" s="14">
        <f t="shared" si="0"/>
        <v>15000</v>
      </c>
    </row>
    <row r="20" spans="7:13" ht="17.100000000000001" customHeight="1" x14ac:dyDescent="0.25">
      <c r="G20" s="22">
        <f>'Payment Calculator'!E16</f>
        <v>54</v>
      </c>
      <c r="H20" s="22">
        <f>'Payment Calculator'!F16</f>
        <v>15</v>
      </c>
      <c r="I20" s="14">
        <f t="shared" si="0"/>
        <v>15000</v>
      </c>
    </row>
    <row r="21" spans="7:13" ht="17.100000000000001" customHeight="1" x14ac:dyDescent="0.25">
      <c r="G21" s="22">
        <f>'Payment Calculator'!E17</f>
        <v>55</v>
      </c>
      <c r="H21" s="22">
        <f>'Payment Calculator'!F17</f>
        <v>16</v>
      </c>
      <c r="I21" s="14">
        <f t="shared" si="0"/>
        <v>15000</v>
      </c>
    </row>
    <row r="22" spans="7:13" ht="17.100000000000001" customHeight="1" x14ac:dyDescent="0.25">
      <c r="G22" s="22">
        <f>'Payment Calculator'!E18</f>
        <v>56</v>
      </c>
      <c r="H22" s="22">
        <f>'Payment Calculator'!F18</f>
        <v>17</v>
      </c>
      <c r="I22" s="14">
        <f t="shared" si="0"/>
        <v>15000</v>
      </c>
    </row>
    <row r="23" spans="7:13" ht="17.100000000000001" customHeight="1" x14ac:dyDescent="0.25">
      <c r="G23" s="22">
        <f>'Payment Calculator'!E19</f>
        <v>57</v>
      </c>
      <c r="H23" s="22">
        <f>'Payment Calculator'!F19</f>
        <v>18</v>
      </c>
      <c r="I23" s="14">
        <f t="shared" si="0"/>
        <v>15000</v>
      </c>
    </row>
    <row r="24" spans="7:13" ht="17.100000000000001" customHeight="1" x14ac:dyDescent="0.25">
      <c r="G24" s="22">
        <f>'Payment Calculator'!E20</f>
        <v>58</v>
      </c>
      <c r="H24" s="22">
        <f>'Payment Calculator'!F20</f>
        <v>19</v>
      </c>
      <c r="I24" s="14">
        <f t="shared" si="0"/>
        <v>15000</v>
      </c>
    </row>
    <row r="25" spans="7:13" ht="17.100000000000001" customHeight="1" x14ac:dyDescent="0.25">
      <c r="G25" s="22">
        <f>'Payment Calculator'!E21</f>
        <v>59</v>
      </c>
      <c r="H25" s="22">
        <f>'Payment Calculator'!F21</f>
        <v>20</v>
      </c>
      <c r="I25" s="14">
        <f t="shared" si="0"/>
        <v>15000</v>
      </c>
    </row>
    <row r="26" spans="7:13" ht="17.100000000000001" customHeight="1" x14ac:dyDescent="0.25">
      <c r="G26" s="22">
        <f>'Payment Calculator'!E22</f>
        <v>60</v>
      </c>
      <c r="H26" s="22">
        <f>'Payment Calculator'!F22</f>
        <v>21</v>
      </c>
      <c r="I26" s="14">
        <f t="shared" si="0"/>
        <v>15000</v>
      </c>
      <c r="L26" s="15"/>
      <c r="M26" s="15"/>
    </row>
    <row r="27" spans="7:13" ht="17.100000000000001" customHeight="1" x14ac:dyDescent="0.25">
      <c r="G27" s="22">
        <f>'Payment Calculator'!E23</f>
        <v>61</v>
      </c>
      <c r="H27" s="22">
        <f>'Payment Calculator'!F23</f>
        <v>22</v>
      </c>
      <c r="I27" s="14">
        <f t="shared" si="0"/>
        <v>15000</v>
      </c>
    </row>
    <row r="28" spans="7:13" ht="17.100000000000001" customHeight="1" x14ac:dyDescent="0.25">
      <c r="G28" s="22">
        <f>'Payment Calculator'!E24</f>
        <v>62</v>
      </c>
      <c r="H28" s="22">
        <f>'Payment Calculator'!F24</f>
        <v>23</v>
      </c>
      <c r="I28" s="14">
        <f t="shared" si="0"/>
        <v>15000</v>
      </c>
    </row>
    <row r="29" spans="7:13" ht="17.100000000000001" customHeight="1" x14ac:dyDescent="0.25">
      <c r="G29" s="22">
        <f>'Payment Calculator'!E25</f>
        <v>63</v>
      </c>
      <c r="H29" s="22">
        <f>'Payment Calculator'!F25</f>
        <v>24</v>
      </c>
      <c r="I29" s="14">
        <f t="shared" si="0"/>
        <v>15000</v>
      </c>
    </row>
    <row r="30" spans="7:13" ht="17.100000000000001" customHeight="1" x14ac:dyDescent="0.25">
      <c r="G30" s="22">
        <f>'Payment Calculator'!E26</f>
        <v>64</v>
      </c>
      <c r="H30" s="22">
        <f>'Payment Calculator'!F26</f>
        <v>25</v>
      </c>
      <c r="I30" s="14">
        <f t="shared" si="0"/>
        <v>15000</v>
      </c>
    </row>
    <row r="31" spans="7:13" ht="17.100000000000001" customHeight="1" x14ac:dyDescent="0.25">
      <c r="G31" s="22">
        <f>'Payment Calculator'!E27</f>
        <v>65</v>
      </c>
      <c r="H31" s="22">
        <f>'Payment Calculator'!F27</f>
        <v>26</v>
      </c>
      <c r="I31" s="14">
        <f t="shared" si="0"/>
        <v>0</v>
      </c>
      <c r="L31" s="18"/>
    </row>
    <row r="32" spans="7:13" ht="17.100000000000001" customHeight="1" x14ac:dyDescent="0.25">
      <c r="G32" s="22">
        <f>'Payment Calculator'!E28</f>
        <v>66</v>
      </c>
      <c r="H32" s="22">
        <f>'Payment Calculator'!F28</f>
        <v>27</v>
      </c>
      <c r="I32" s="14">
        <f t="shared" si="0"/>
        <v>0</v>
      </c>
    </row>
    <row r="33" spans="7:9" ht="17.100000000000001" customHeight="1" x14ac:dyDescent="0.25">
      <c r="G33" s="22">
        <f>'Payment Calculator'!E29</f>
        <v>67</v>
      </c>
      <c r="H33" s="22">
        <f>'Payment Calculator'!F29</f>
        <v>28</v>
      </c>
      <c r="I33" s="14">
        <f t="shared" si="0"/>
        <v>0</v>
      </c>
    </row>
    <row r="34" spans="7:9" ht="17.100000000000001" customHeight="1" x14ac:dyDescent="0.25">
      <c r="G34" s="22">
        <f>'Payment Calculator'!E30</f>
        <v>68</v>
      </c>
      <c r="H34" s="22">
        <f>'Payment Calculator'!F30</f>
        <v>29</v>
      </c>
      <c r="I34" s="14">
        <f t="shared" si="0"/>
        <v>0</v>
      </c>
    </row>
    <row r="35" spans="7:9" ht="17.100000000000001" customHeight="1" x14ac:dyDescent="0.25">
      <c r="G35" s="22">
        <f>'Payment Calculator'!E31</f>
        <v>69</v>
      </c>
      <c r="H35" s="22">
        <f>'Payment Calculator'!F31</f>
        <v>30</v>
      </c>
      <c r="I35" s="14">
        <f t="shared" si="0"/>
        <v>0</v>
      </c>
    </row>
    <row r="36" spans="7:9" ht="17.100000000000001" customHeight="1" x14ac:dyDescent="0.25">
      <c r="G36" s="22">
        <f>'Payment Calculator'!E32</f>
        <v>70</v>
      </c>
      <c r="H36" s="22">
        <f>'Payment Calculator'!F32</f>
        <v>31</v>
      </c>
      <c r="I36" s="14">
        <f t="shared" si="0"/>
        <v>0</v>
      </c>
    </row>
    <row r="37" spans="7:9" ht="17.100000000000001" customHeight="1" x14ac:dyDescent="0.25">
      <c r="G37" s="22">
        <f>'Payment Calculator'!E33</f>
        <v>71</v>
      </c>
      <c r="H37" s="22">
        <f>'Payment Calculator'!F33</f>
        <v>32</v>
      </c>
      <c r="I37" s="14">
        <f t="shared" si="0"/>
        <v>0</v>
      </c>
    </row>
    <row r="38" spans="7:9" ht="17.100000000000001" customHeight="1" x14ac:dyDescent="0.25">
      <c r="G38" s="22">
        <f>'Payment Calculator'!E34</f>
        <v>72</v>
      </c>
      <c r="H38" s="22">
        <f>'Payment Calculator'!F34</f>
        <v>33</v>
      </c>
      <c r="I38" s="14">
        <f t="shared" ref="I38:I69" si="1">IF(H38="","", HLOOKUP($D$6, plan_vs_payment, H38+1))</f>
        <v>0</v>
      </c>
    </row>
    <row r="39" spans="7:9" ht="17.100000000000001" customHeight="1" x14ac:dyDescent="0.25">
      <c r="G39" s="22">
        <f>'Payment Calculator'!E35</f>
        <v>73</v>
      </c>
      <c r="H39" s="22">
        <f>'Payment Calculator'!F35</f>
        <v>34</v>
      </c>
      <c r="I39" s="14">
        <f t="shared" si="1"/>
        <v>0</v>
      </c>
    </row>
    <row r="40" spans="7:9" ht="17.100000000000001" customHeight="1" x14ac:dyDescent="0.25">
      <c r="G40" s="22">
        <f>'Payment Calculator'!E36</f>
        <v>74</v>
      </c>
      <c r="H40" s="22">
        <f>'Payment Calculator'!F36</f>
        <v>35</v>
      </c>
      <c r="I40" s="14">
        <f t="shared" si="1"/>
        <v>0</v>
      </c>
    </row>
    <row r="41" spans="7:9" ht="17.100000000000001" customHeight="1" x14ac:dyDescent="0.25">
      <c r="G41" s="22">
        <f>'Payment Calculator'!E37</f>
        <v>75</v>
      </c>
      <c r="H41" s="22">
        <f>'Payment Calculator'!F37</f>
        <v>36</v>
      </c>
      <c r="I41" s="14">
        <f t="shared" si="1"/>
        <v>0</v>
      </c>
    </row>
    <row r="42" spans="7:9" ht="17.100000000000001" customHeight="1" x14ac:dyDescent="0.25">
      <c r="G42" s="22">
        <f>'Payment Calculator'!E38</f>
        <v>76</v>
      </c>
      <c r="H42" s="22">
        <f>'Payment Calculator'!F38</f>
        <v>37</v>
      </c>
      <c r="I42" s="14">
        <f t="shared" si="1"/>
        <v>0</v>
      </c>
    </row>
    <row r="43" spans="7:9" ht="17.100000000000001" customHeight="1" x14ac:dyDescent="0.25">
      <c r="G43" s="22">
        <f>'Payment Calculator'!E39</f>
        <v>77</v>
      </c>
      <c r="H43" s="22">
        <f>'Payment Calculator'!F39</f>
        <v>38</v>
      </c>
      <c r="I43" s="14">
        <f t="shared" si="1"/>
        <v>0</v>
      </c>
    </row>
    <row r="44" spans="7:9" ht="17.100000000000001" customHeight="1" x14ac:dyDescent="0.25">
      <c r="G44" s="22">
        <f>'Payment Calculator'!E40</f>
        <v>78</v>
      </c>
      <c r="H44" s="22">
        <f>'Payment Calculator'!F40</f>
        <v>39</v>
      </c>
      <c r="I44" s="14">
        <f t="shared" si="1"/>
        <v>0</v>
      </c>
    </row>
    <row r="45" spans="7:9" ht="17.100000000000001" customHeight="1" x14ac:dyDescent="0.25">
      <c r="G45" s="22">
        <f>'Payment Calculator'!E41</f>
        <v>79</v>
      </c>
      <c r="H45" s="22">
        <f>'Payment Calculator'!F41</f>
        <v>40</v>
      </c>
      <c r="I45" s="14">
        <f t="shared" si="1"/>
        <v>0</v>
      </c>
    </row>
    <row r="46" spans="7:9" ht="17.100000000000001" customHeight="1" x14ac:dyDescent="0.25">
      <c r="G46" s="22">
        <f>'Payment Calculator'!E42</f>
        <v>80</v>
      </c>
      <c r="H46" s="22">
        <f>'Payment Calculator'!F42</f>
        <v>41</v>
      </c>
      <c r="I46" s="14">
        <f t="shared" si="1"/>
        <v>0</v>
      </c>
    </row>
    <row r="47" spans="7:9" ht="17.100000000000001" customHeight="1" x14ac:dyDescent="0.25">
      <c r="G47" s="22">
        <f>'Payment Calculator'!E43</f>
        <v>81</v>
      </c>
      <c r="H47" s="22">
        <f>'Payment Calculator'!F43</f>
        <v>42</v>
      </c>
      <c r="I47" s="14">
        <f t="shared" si="1"/>
        <v>0</v>
      </c>
    </row>
    <row r="48" spans="7:9" ht="17.100000000000001" customHeight="1" x14ac:dyDescent="0.25">
      <c r="G48" s="22">
        <f>'Payment Calculator'!E44</f>
        <v>82</v>
      </c>
      <c r="H48" s="22">
        <f>'Payment Calculator'!F44</f>
        <v>43</v>
      </c>
      <c r="I48" s="14">
        <f t="shared" si="1"/>
        <v>0</v>
      </c>
    </row>
    <row r="49" spans="7:9" ht="17.100000000000001" customHeight="1" x14ac:dyDescent="0.25">
      <c r="G49" s="22">
        <f>'Payment Calculator'!E45</f>
        <v>83</v>
      </c>
      <c r="H49" s="22">
        <f>'Payment Calculator'!F45</f>
        <v>44</v>
      </c>
      <c r="I49" s="14">
        <f t="shared" si="1"/>
        <v>0</v>
      </c>
    </row>
    <row r="50" spans="7:9" ht="17.100000000000001" customHeight="1" x14ac:dyDescent="0.25">
      <c r="G50" s="22">
        <f>'Payment Calculator'!E46</f>
        <v>84</v>
      </c>
      <c r="H50" s="22">
        <f>'Payment Calculator'!F46</f>
        <v>45</v>
      </c>
      <c r="I50" s="14">
        <f t="shared" si="1"/>
        <v>0</v>
      </c>
    </row>
    <row r="51" spans="7:9" ht="17.100000000000001" customHeight="1" x14ac:dyDescent="0.25">
      <c r="G51" s="22">
        <f>'Payment Calculator'!E47</f>
        <v>85</v>
      </c>
      <c r="H51" s="22">
        <f>'Payment Calculator'!F47</f>
        <v>46</v>
      </c>
      <c r="I51" s="14">
        <f t="shared" si="1"/>
        <v>0</v>
      </c>
    </row>
    <row r="52" spans="7:9" ht="17.100000000000001" customHeight="1" x14ac:dyDescent="0.25">
      <c r="G52" s="22">
        <f>'Payment Calculator'!E48</f>
        <v>86</v>
      </c>
      <c r="H52" s="22">
        <f>'Payment Calculator'!F48</f>
        <v>47</v>
      </c>
      <c r="I52" s="14">
        <f t="shared" si="1"/>
        <v>0</v>
      </c>
    </row>
    <row r="53" spans="7:9" ht="17.100000000000001" customHeight="1" x14ac:dyDescent="0.25">
      <c r="G53" s="22">
        <f>'Payment Calculator'!E49</f>
        <v>87</v>
      </c>
      <c r="H53" s="22">
        <f>'Payment Calculator'!F49</f>
        <v>48</v>
      </c>
      <c r="I53" s="14">
        <f t="shared" si="1"/>
        <v>0</v>
      </c>
    </row>
    <row r="54" spans="7:9" ht="17.100000000000001" customHeight="1" x14ac:dyDescent="0.25">
      <c r="G54" s="22">
        <f>'Payment Calculator'!E50</f>
        <v>88</v>
      </c>
      <c r="H54" s="22">
        <f>'Payment Calculator'!F50</f>
        <v>49</v>
      </c>
      <c r="I54" s="14">
        <f t="shared" si="1"/>
        <v>0</v>
      </c>
    </row>
    <row r="55" spans="7:9" ht="17.100000000000001" customHeight="1" x14ac:dyDescent="0.25">
      <c r="G55" s="22">
        <f>'Payment Calculator'!E51</f>
        <v>89</v>
      </c>
      <c r="H55" s="22">
        <f>'Payment Calculator'!F51</f>
        <v>50</v>
      </c>
      <c r="I55" s="14">
        <f t="shared" si="1"/>
        <v>0</v>
      </c>
    </row>
    <row r="56" spans="7:9" ht="17.100000000000001" customHeight="1" x14ac:dyDescent="0.25">
      <c r="G56" s="22">
        <f>'Payment Calculator'!E52</f>
        <v>90</v>
      </c>
      <c r="H56" s="22">
        <f>'Payment Calculator'!F52</f>
        <v>51</v>
      </c>
      <c r="I56" s="14">
        <f t="shared" si="1"/>
        <v>0</v>
      </c>
    </row>
    <row r="57" spans="7:9" ht="17.100000000000001" customHeight="1" x14ac:dyDescent="0.25">
      <c r="G57" s="22">
        <f>'Payment Calculator'!E53</f>
        <v>91</v>
      </c>
      <c r="H57" s="22">
        <f>'Payment Calculator'!F53</f>
        <v>52</v>
      </c>
      <c r="I57" s="14">
        <f t="shared" si="1"/>
        <v>0</v>
      </c>
    </row>
    <row r="58" spans="7:9" ht="17.100000000000001" customHeight="1" x14ac:dyDescent="0.25">
      <c r="G58" s="22">
        <f>'Payment Calculator'!E54</f>
        <v>92</v>
      </c>
      <c r="H58" s="22">
        <f>'Payment Calculator'!F54</f>
        <v>53</v>
      </c>
      <c r="I58" s="14">
        <f t="shared" si="1"/>
        <v>0</v>
      </c>
    </row>
    <row r="59" spans="7:9" ht="17.100000000000001" customHeight="1" x14ac:dyDescent="0.25">
      <c r="G59" s="22">
        <f>'Payment Calculator'!E55</f>
        <v>93</v>
      </c>
      <c r="H59" s="22">
        <f>'Payment Calculator'!F55</f>
        <v>54</v>
      </c>
      <c r="I59" s="14">
        <f t="shared" si="1"/>
        <v>0</v>
      </c>
    </row>
    <row r="60" spans="7:9" ht="17.100000000000001" customHeight="1" x14ac:dyDescent="0.25">
      <c r="G60" s="22">
        <f>'Payment Calculator'!E56</f>
        <v>94</v>
      </c>
      <c r="H60" s="22">
        <f>'Payment Calculator'!F56</f>
        <v>55</v>
      </c>
      <c r="I60" s="14">
        <f t="shared" si="1"/>
        <v>0</v>
      </c>
    </row>
    <row r="61" spans="7:9" ht="17.100000000000001" customHeight="1" x14ac:dyDescent="0.25">
      <c r="G61" s="22">
        <f>'Payment Calculator'!E57</f>
        <v>95</v>
      </c>
      <c r="H61" s="22">
        <f>'Payment Calculator'!F57</f>
        <v>56</v>
      </c>
      <c r="I61" s="14">
        <f t="shared" si="1"/>
        <v>0</v>
      </c>
    </row>
    <row r="62" spans="7:9" ht="17.100000000000001" customHeight="1" x14ac:dyDescent="0.25">
      <c r="G62" s="22">
        <f>'Payment Calculator'!E58</f>
        <v>96</v>
      </c>
      <c r="H62" s="22">
        <f>'Payment Calculator'!F58</f>
        <v>57</v>
      </c>
      <c r="I62" s="14">
        <f t="shared" si="1"/>
        <v>0</v>
      </c>
    </row>
    <row r="63" spans="7:9" ht="17.100000000000001" customHeight="1" x14ac:dyDescent="0.25">
      <c r="G63" s="22">
        <f>'Payment Calculator'!E59</f>
        <v>97</v>
      </c>
      <c r="H63" s="22">
        <f>'Payment Calculator'!F59</f>
        <v>58</v>
      </c>
      <c r="I63" s="14">
        <f t="shared" si="1"/>
        <v>0</v>
      </c>
    </row>
    <row r="64" spans="7:9" ht="17.100000000000001" customHeight="1" x14ac:dyDescent="0.25">
      <c r="G64" s="22">
        <f>'Payment Calculator'!E60</f>
        <v>98</v>
      </c>
      <c r="H64" s="22">
        <f>'Payment Calculator'!F60</f>
        <v>59</v>
      </c>
      <c r="I64" s="14">
        <f t="shared" si="1"/>
        <v>0</v>
      </c>
    </row>
    <row r="65" spans="7:9" ht="17.100000000000001" customHeight="1" x14ac:dyDescent="0.25">
      <c r="G65" s="22">
        <f>'Payment Calculator'!E61</f>
        <v>99</v>
      </c>
      <c r="H65" s="22">
        <f>'Payment Calculator'!F61</f>
        <v>60</v>
      </c>
      <c r="I65" s="14">
        <f t="shared" si="1"/>
        <v>0</v>
      </c>
    </row>
    <row r="66" spans="7:9" ht="17.100000000000001" customHeight="1" x14ac:dyDescent="0.25">
      <c r="G66" s="22">
        <f>'Payment Calculator'!E62</f>
        <v>100</v>
      </c>
      <c r="H66" s="22">
        <f>'Payment Calculator'!F62</f>
        <v>61</v>
      </c>
      <c r="I66" s="14">
        <f t="shared" si="1"/>
        <v>0</v>
      </c>
    </row>
    <row r="67" spans="7:9" ht="17.100000000000001" customHeight="1" x14ac:dyDescent="0.25">
      <c r="G67" s="22">
        <f>'Payment Calculator'!E63</f>
        <v>101</v>
      </c>
      <c r="H67" s="22">
        <f>'Payment Calculator'!F63</f>
        <v>62</v>
      </c>
      <c r="I67" s="14">
        <f t="shared" si="1"/>
        <v>0</v>
      </c>
    </row>
    <row r="68" spans="7:9" ht="17.100000000000001" customHeight="1" x14ac:dyDescent="0.25">
      <c r="G68" s="22">
        <f>'Payment Calculator'!E64</f>
        <v>102</v>
      </c>
      <c r="H68" s="22">
        <f>'Payment Calculator'!F64</f>
        <v>63</v>
      </c>
      <c r="I68" s="14">
        <f t="shared" si="1"/>
        <v>0</v>
      </c>
    </row>
    <row r="69" spans="7:9" ht="17.100000000000001" customHeight="1" x14ac:dyDescent="0.25">
      <c r="G69" s="22">
        <f>'Payment Calculator'!E65</f>
        <v>103</v>
      </c>
      <c r="H69" s="22">
        <f>'Payment Calculator'!F65</f>
        <v>64</v>
      </c>
      <c r="I69" s="14">
        <f t="shared" si="1"/>
        <v>0</v>
      </c>
    </row>
    <row r="70" spans="7:9" ht="17.100000000000001" customHeight="1" x14ac:dyDescent="0.25">
      <c r="G70" s="22">
        <f>'Payment Calculator'!E66</f>
        <v>104</v>
      </c>
      <c r="H70" s="22">
        <f>'Payment Calculator'!F66</f>
        <v>65</v>
      </c>
      <c r="I70" s="14">
        <f t="shared" ref="I70:I76" si="2">IF(H70="","", HLOOKUP($D$6, plan_vs_payment, H70+1))</f>
        <v>0</v>
      </c>
    </row>
    <row r="71" spans="7:9" ht="17.100000000000001" customHeight="1" x14ac:dyDescent="0.25">
      <c r="G71" s="22">
        <f>'Payment Calculator'!E67</f>
        <v>105</v>
      </c>
      <c r="H71" s="22">
        <f>'Payment Calculator'!F67</f>
        <v>66</v>
      </c>
      <c r="I71" s="14">
        <f t="shared" si="2"/>
        <v>0</v>
      </c>
    </row>
    <row r="72" spans="7:9" ht="17.100000000000001" customHeight="1" x14ac:dyDescent="0.25">
      <c r="G72" s="22">
        <f>'Payment Calculator'!E68</f>
        <v>106</v>
      </c>
      <c r="H72" s="22">
        <f>'Payment Calculator'!F68</f>
        <v>67</v>
      </c>
      <c r="I72" s="14">
        <f t="shared" si="2"/>
        <v>0</v>
      </c>
    </row>
    <row r="73" spans="7:9" ht="17.100000000000001" customHeight="1" x14ac:dyDescent="0.25">
      <c r="G73" s="22">
        <f>'Payment Calculator'!E69</f>
        <v>107</v>
      </c>
      <c r="H73" s="22">
        <f>'Payment Calculator'!F69</f>
        <v>68</v>
      </c>
      <c r="I73" s="14">
        <f t="shared" si="2"/>
        <v>0</v>
      </c>
    </row>
    <row r="74" spans="7:9" ht="17.100000000000001" customHeight="1" x14ac:dyDescent="0.25">
      <c r="G74" s="22">
        <f>'Payment Calculator'!E70</f>
        <v>108</v>
      </c>
      <c r="H74" s="22">
        <f>'Payment Calculator'!F70</f>
        <v>69</v>
      </c>
      <c r="I74" s="14">
        <f t="shared" si="2"/>
        <v>0</v>
      </c>
    </row>
    <row r="75" spans="7:9" ht="17.100000000000001" customHeight="1" x14ac:dyDescent="0.25">
      <c r="G75" s="22">
        <f>'Payment Calculator'!E71</f>
        <v>109</v>
      </c>
      <c r="H75" s="22">
        <f>'Payment Calculator'!F71</f>
        <v>70</v>
      </c>
      <c r="I75" s="14">
        <f t="shared" si="2"/>
        <v>0</v>
      </c>
    </row>
    <row r="76" spans="7:9" ht="17.100000000000001" customHeight="1" x14ac:dyDescent="0.25">
      <c r="G76" s="22">
        <f>'Payment Calculator'!E72</f>
        <v>110</v>
      </c>
      <c r="H76" s="22">
        <f>'Payment Calculator'!F72</f>
        <v>71</v>
      </c>
      <c r="I76" s="14">
        <f t="shared" si="2"/>
        <v>0</v>
      </c>
    </row>
  </sheetData>
  <sheetProtection sheet="1" objects="1" scenarios="1"/>
  <mergeCells count="1">
    <mergeCell ref="F2:J2"/>
  </mergeCells>
  <conditionalFormatting sqref="D10">
    <cfRule type="expression" dxfId="1" priority="2">
      <formula>OR(D6="Plan #2", D6="Plan #4")</formula>
    </cfRule>
  </conditionalFormatting>
  <conditionalFormatting sqref="D12">
    <cfRule type="expression" dxfId="0" priority="1">
      <formula>OR(D6="Plan #2", D6="Plan #3", D6="Plan #4")</formula>
    </cfRule>
  </conditionalFormatting>
  <dataValidations count="8">
    <dataValidation type="whole" allowBlank="1" showInputMessage="1" showErrorMessage="1" error="The company only offers annuities to individuals between 40 and 110 years old." sqref="C9:E9 D8" xr:uid="{C2E8E2A3-B3E1-46E7-81E1-63024CA1B596}">
      <formula1>40</formula1>
      <formula2>110</formula2>
    </dataValidation>
    <dataValidation type="whole" allowBlank="1" showInputMessage="1" showErrorMessage="1" errorTitle="Invalid age" error="Please enter a valid age." sqref="C12 E12" xr:uid="{139C3E53-58E8-4439-8522-1D0075218BCD}">
      <formula1>C9</formula1>
      <formula2>110</formula2>
    </dataValidation>
    <dataValidation type="whole" allowBlank="1" showInputMessage="1" showErrorMessage="1" errorTitle="Invalid age" error="Please enter a valid age." sqref="D10" xr:uid="{30FC56E0-8D70-499F-B111-B165D82534D1}">
      <formula1>D8</formula1>
      <formula2>110</formula2>
    </dataValidation>
    <dataValidation type="whole" allowBlank="1" showInputMessage="1" showErrorMessage="1" errorTitle="Invalid number" error="The company only offers payments up to age 110." sqref="D12" xr:uid="{00BDCD8A-96A3-4177-AC5D-70AEF90656CA}">
      <formula1>1</formula1>
      <formula2>111-D10</formula2>
    </dataValidation>
    <dataValidation type="whole" allowBlank="1" showInputMessage="1" showErrorMessage="1" errorTitle="Invalid number" error="The company only offers payments up to age 110." sqref="E15" xr:uid="{DF71B657-ACD6-405C-BB5A-E80F01F917FE}">
      <formula1>1</formula1>
      <formula2>111-E12</formula2>
    </dataValidation>
    <dataValidation type="whole" allowBlank="1" showInputMessage="1" showErrorMessage="1" errorTitle="Invalid number" error="The company only offers payments up to age 110." sqref="C15:D15" xr:uid="{C6AA75C1-E0EA-4538-9444-8D976AEAA269}">
      <formula1>1</formula1>
      <formula2>111-#REF!</formula2>
    </dataValidation>
    <dataValidation type="whole" allowBlank="1" showInputMessage="1" showErrorMessage="1" sqref="D8" xr:uid="{2D6B5799-6230-485C-889D-E58DD345CCDA}">
      <formula1>40</formula1>
      <formula2>110</formula2>
    </dataValidation>
    <dataValidation type="whole" allowBlank="1" showInputMessage="1" showErrorMessage="1" errorTitle="Invalid age" error="Please enter a valid age." sqref="D12" xr:uid="{5DB56747-BDE9-42FE-BAC6-0243E409ABD3}">
      <formula1>1</formula1>
      <formula2>111-D10</formula2>
    </dataValidation>
  </dataValidation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144984-FEA9-413C-AA2C-16FBD1B7D77D}">
          <x14:formula1>
            <xm:f>'Payment Calculator'!$G$1:$M$1</xm:f>
          </x14:formula1>
          <xm:sqref>C8 D6:E6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DDFF5-06BA-4799-9056-03467F29CAE1}">
  <sheetPr codeName="Sheet2"/>
  <dimension ref="B1:M129"/>
  <sheetViews>
    <sheetView workbookViewId="0">
      <pane ySplit="1" topLeftCell="A2" activePane="bottomLeft" state="frozen"/>
      <selection pane="bottomLeft" activeCell="Q15" sqref="Q15"/>
    </sheetView>
  </sheetViews>
  <sheetFormatPr defaultRowHeight="15.75" x14ac:dyDescent="0.25"/>
  <cols>
    <col min="1" max="1" width="4.125" customWidth="1"/>
    <col min="2" max="2" width="17.75" bestFit="1" customWidth="1"/>
    <col min="5" max="6" width="7.125" customWidth="1"/>
    <col min="7" max="13" width="12.625" customWidth="1"/>
  </cols>
  <sheetData>
    <row r="1" spans="2:13" x14ac:dyDescent="0.25">
      <c r="E1" s="12" t="s">
        <v>4</v>
      </c>
      <c r="F1" s="13" t="s">
        <v>5</v>
      </c>
      <c r="G1" s="12" t="s">
        <v>9</v>
      </c>
      <c r="H1" s="13" t="s">
        <v>10</v>
      </c>
      <c r="I1" s="13" t="s">
        <v>11</v>
      </c>
      <c r="J1" s="13" t="s">
        <v>12</v>
      </c>
      <c r="K1" s="13" t="s">
        <v>13</v>
      </c>
      <c r="L1" s="13" t="s">
        <v>14</v>
      </c>
      <c r="M1" s="12" t="s">
        <v>15</v>
      </c>
    </row>
    <row r="2" spans="2:13" x14ac:dyDescent="0.25">
      <c r="B2" s="3" t="s">
        <v>16</v>
      </c>
      <c r="E2" s="5">
        <f>C3</f>
        <v>40</v>
      </c>
      <c r="F2" s="5">
        <v>1</v>
      </c>
      <c r="G2" s="7">
        <f t="shared" ref="G2:G33" si="0">IF(E2="","",IF(AND(E2&gt;=$C$4,E2&lt;($C$4+$C$5)),15000,0))</f>
        <v>0</v>
      </c>
      <c r="H2" s="8">
        <f t="shared" ref="H2:H33" si="1">IF(E2="","",IF(AND(E2&gt;=65,E2&lt;=94),(E2-40)*1000,0))</f>
        <v>0</v>
      </c>
      <c r="I2" s="7">
        <f>IF(E2="","", IF(AND($C$4 &lt;&gt; 0, E2 &gt;= $C$4), 7200, 0))</f>
        <v>0</v>
      </c>
      <c r="J2" s="7">
        <f t="shared" ref="J2:J33" si="2">IF(E2="","", IF(AND(E2 &gt;= 60, E2 &lt;= 100), E2*1000, 0))</f>
        <v>0</v>
      </c>
      <c r="K2" s="7">
        <f t="shared" ref="K2:K33" si="3">IF(E2 = "", "", IF(AND(E2 &gt;= $C$4, E2 &lt; ($C$4+$C$5)), IF(E2 &lt; ($C$4 + ($C$5/2)), 19000, 25000), 0))</f>
        <v>0</v>
      </c>
      <c r="L2" s="7">
        <f t="shared" ref="L2:L33" si="4">IF(E2 = "", "", IF(AND(E2 &gt;= $C$4, E2 &lt; ($C$4+$C$5)), 100000/$C$5, 0))</f>
        <v>0</v>
      </c>
      <c r="M2" s="9">
        <f t="shared" ref="M2:M33" si="5">IF(E2 = "", "", IF(AND(E2 &gt;= $C$4, E2 &lt; ($C$4+$C$5)), IF(MOD(E2-$C$4, 2) = 0, 30000, 0), 0))</f>
        <v>0</v>
      </c>
    </row>
    <row r="3" spans="2:13" x14ac:dyDescent="0.25">
      <c r="B3" s="1" t="s">
        <v>18</v>
      </c>
      <c r="C3" s="1">
        <f>'Illustration Tool'!D8</f>
        <v>40</v>
      </c>
      <c r="E3" s="5">
        <f t="shared" ref="E3:E34" si="6">IF(F3="","",E2+1)</f>
        <v>41</v>
      </c>
      <c r="F3" s="5">
        <f t="shared" ref="F3:F34" si="7">IF(F2="","",IF($C$3+F2&lt;=110,F2+1,""))</f>
        <v>2</v>
      </c>
      <c r="G3" s="7">
        <f t="shared" si="0"/>
        <v>0</v>
      </c>
      <c r="H3" s="7">
        <f t="shared" si="1"/>
        <v>0</v>
      </c>
      <c r="I3" s="7">
        <f t="shared" ref="I3:I66" si="8">IF(E3="","", IF(AND($C$4 &lt;&gt; 0, E3 &gt;= $C$4), 7200, 0))</f>
        <v>0</v>
      </c>
      <c r="J3" s="7">
        <f t="shared" si="2"/>
        <v>0</v>
      </c>
      <c r="K3" s="7">
        <f t="shared" si="3"/>
        <v>0</v>
      </c>
      <c r="L3" s="7">
        <f t="shared" si="4"/>
        <v>0</v>
      </c>
      <c r="M3" s="9">
        <f t="shared" si="5"/>
        <v>0</v>
      </c>
    </row>
    <row r="4" spans="2:13" x14ac:dyDescent="0.25">
      <c r="B4" s="1" t="s">
        <v>17</v>
      </c>
      <c r="C4" s="1">
        <f>'Illustration Tool'!D10</f>
        <v>45</v>
      </c>
      <c r="E4" s="5">
        <f t="shared" si="6"/>
        <v>42</v>
      </c>
      <c r="F4" s="5">
        <f t="shared" si="7"/>
        <v>3</v>
      </c>
      <c r="G4" s="7">
        <f t="shared" si="0"/>
        <v>0</v>
      </c>
      <c r="H4" s="7">
        <f t="shared" si="1"/>
        <v>0</v>
      </c>
      <c r="I4" s="7">
        <f t="shared" si="8"/>
        <v>0</v>
      </c>
      <c r="J4" s="7">
        <f t="shared" si="2"/>
        <v>0</v>
      </c>
      <c r="K4" s="7">
        <f t="shared" si="3"/>
        <v>0</v>
      </c>
      <c r="L4" s="7">
        <f t="shared" si="4"/>
        <v>0</v>
      </c>
      <c r="M4" s="9">
        <f t="shared" si="5"/>
        <v>0</v>
      </c>
    </row>
    <row r="5" spans="2:13" x14ac:dyDescent="0.25">
      <c r="B5" s="1" t="s">
        <v>3</v>
      </c>
      <c r="C5" s="1">
        <f>'Illustration Tool'!D12</f>
        <v>20</v>
      </c>
      <c r="E5" s="5">
        <f t="shared" si="6"/>
        <v>43</v>
      </c>
      <c r="F5" s="5">
        <f t="shared" si="7"/>
        <v>4</v>
      </c>
      <c r="G5" s="7">
        <f t="shared" si="0"/>
        <v>0</v>
      </c>
      <c r="H5" s="7">
        <f t="shared" si="1"/>
        <v>0</v>
      </c>
      <c r="I5" s="7">
        <f t="shared" si="8"/>
        <v>0</v>
      </c>
      <c r="J5" s="7">
        <f t="shared" si="2"/>
        <v>0</v>
      </c>
      <c r="K5" s="7">
        <f t="shared" si="3"/>
        <v>0</v>
      </c>
      <c r="L5" s="7">
        <f t="shared" si="4"/>
        <v>0</v>
      </c>
      <c r="M5" s="9">
        <f t="shared" si="5"/>
        <v>0</v>
      </c>
    </row>
    <row r="6" spans="2:13" x14ac:dyDescent="0.25">
      <c r="E6" s="5">
        <f t="shared" si="6"/>
        <v>44</v>
      </c>
      <c r="F6" s="5">
        <f t="shared" si="7"/>
        <v>5</v>
      </c>
      <c r="G6" s="7">
        <f t="shared" si="0"/>
        <v>0</v>
      </c>
      <c r="H6" s="7">
        <f t="shared" si="1"/>
        <v>0</v>
      </c>
      <c r="I6" s="7">
        <f t="shared" si="8"/>
        <v>0</v>
      </c>
      <c r="J6" s="7">
        <f t="shared" si="2"/>
        <v>0</v>
      </c>
      <c r="K6" s="7">
        <f t="shared" si="3"/>
        <v>0</v>
      </c>
      <c r="L6" s="7">
        <f t="shared" si="4"/>
        <v>0</v>
      </c>
      <c r="M6" s="9">
        <f t="shared" si="5"/>
        <v>0</v>
      </c>
    </row>
    <row r="7" spans="2:13" x14ac:dyDescent="0.25">
      <c r="E7" s="5">
        <f t="shared" si="6"/>
        <v>45</v>
      </c>
      <c r="F7" s="5">
        <f t="shared" si="7"/>
        <v>6</v>
      </c>
      <c r="G7" s="7">
        <f t="shared" si="0"/>
        <v>15000</v>
      </c>
      <c r="H7" s="7">
        <f t="shared" si="1"/>
        <v>0</v>
      </c>
      <c r="I7" s="7">
        <f t="shared" si="8"/>
        <v>7200</v>
      </c>
      <c r="J7" s="7">
        <f t="shared" si="2"/>
        <v>0</v>
      </c>
      <c r="K7" s="7">
        <f t="shared" si="3"/>
        <v>19000</v>
      </c>
      <c r="L7" s="7">
        <f t="shared" si="4"/>
        <v>5000</v>
      </c>
      <c r="M7" s="9">
        <f t="shared" si="5"/>
        <v>30000</v>
      </c>
    </row>
    <row r="8" spans="2:13" x14ac:dyDescent="0.25">
      <c r="B8" s="4"/>
      <c r="E8" s="5">
        <f t="shared" si="6"/>
        <v>46</v>
      </c>
      <c r="F8" s="5">
        <f t="shared" si="7"/>
        <v>7</v>
      </c>
      <c r="G8" s="7">
        <f t="shared" si="0"/>
        <v>15000</v>
      </c>
      <c r="H8" s="7">
        <f t="shared" si="1"/>
        <v>0</v>
      </c>
      <c r="I8" s="7">
        <f t="shared" si="8"/>
        <v>7200</v>
      </c>
      <c r="J8" s="7">
        <f t="shared" si="2"/>
        <v>0</v>
      </c>
      <c r="K8" s="7">
        <f t="shared" si="3"/>
        <v>19000</v>
      </c>
      <c r="L8" s="7">
        <f t="shared" si="4"/>
        <v>5000</v>
      </c>
      <c r="M8" s="9">
        <f t="shared" si="5"/>
        <v>0</v>
      </c>
    </row>
    <row r="9" spans="2:13" x14ac:dyDescent="0.25">
      <c r="E9" s="5">
        <f t="shared" si="6"/>
        <v>47</v>
      </c>
      <c r="F9" s="5">
        <f t="shared" si="7"/>
        <v>8</v>
      </c>
      <c r="G9" s="7">
        <f t="shared" si="0"/>
        <v>15000</v>
      </c>
      <c r="H9" s="7">
        <f t="shared" si="1"/>
        <v>0</v>
      </c>
      <c r="I9" s="7">
        <f t="shared" si="8"/>
        <v>7200</v>
      </c>
      <c r="J9" s="7">
        <f t="shared" si="2"/>
        <v>0</v>
      </c>
      <c r="K9" s="7">
        <f t="shared" si="3"/>
        <v>19000</v>
      </c>
      <c r="L9" s="7">
        <f t="shared" si="4"/>
        <v>5000</v>
      </c>
      <c r="M9" s="9">
        <f t="shared" si="5"/>
        <v>30000</v>
      </c>
    </row>
    <row r="10" spans="2:13" x14ac:dyDescent="0.25">
      <c r="E10" s="5">
        <f t="shared" si="6"/>
        <v>48</v>
      </c>
      <c r="F10" s="5">
        <f t="shared" si="7"/>
        <v>9</v>
      </c>
      <c r="G10" s="7">
        <f t="shared" si="0"/>
        <v>15000</v>
      </c>
      <c r="H10" s="7">
        <f t="shared" si="1"/>
        <v>0</v>
      </c>
      <c r="I10" s="7">
        <f t="shared" si="8"/>
        <v>7200</v>
      </c>
      <c r="J10" s="7">
        <f t="shared" si="2"/>
        <v>0</v>
      </c>
      <c r="K10" s="7">
        <f t="shared" si="3"/>
        <v>19000</v>
      </c>
      <c r="L10" s="7">
        <f t="shared" si="4"/>
        <v>5000</v>
      </c>
      <c r="M10" s="9">
        <f t="shared" si="5"/>
        <v>0</v>
      </c>
    </row>
    <row r="11" spans="2:13" x14ac:dyDescent="0.25">
      <c r="E11" s="5">
        <f t="shared" si="6"/>
        <v>49</v>
      </c>
      <c r="F11" s="5">
        <f t="shared" si="7"/>
        <v>10</v>
      </c>
      <c r="G11" s="7">
        <f t="shared" si="0"/>
        <v>15000</v>
      </c>
      <c r="H11" s="7">
        <f t="shared" si="1"/>
        <v>0</v>
      </c>
      <c r="I11" s="7">
        <f t="shared" si="8"/>
        <v>7200</v>
      </c>
      <c r="J11" s="7">
        <f t="shared" si="2"/>
        <v>0</v>
      </c>
      <c r="K11" s="7">
        <f t="shared" si="3"/>
        <v>19000</v>
      </c>
      <c r="L11" s="7">
        <f t="shared" si="4"/>
        <v>5000</v>
      </c>
      <c r="M11" s="9">
        <f t="shared" si="5"/>
        <v>30000</v>
      </c>
    </row>
    <row r="12" spans="2:13" x14ac:dyDescent="0.25">
      <c r="E12" s="5">
        <f t="shared" si="6"/>
        <v>50</v>
      </c>
      <c r="F12" s="5">
        <f t="shared" si="7"/>
        <v>11</v>
      </c>
      <c r="G12" s="7">
        <f t="shared" si="0"/>
        <v>15000</v>
      </c>
      <c r="H12" s="7">
        <f t="shared" si="1"/>
        <v>0</v>
      </c>
      <c r="I12" s="7">
        <f t="shared" si="8"/>
        <v>7200</v>
      </c>
      <c r="J12" s="7">
        <f t="shared" si="2"/>
        <v>0</v>
      </c>
      <c r="K12" s="7">
        <f t="shared" si="3"/>
        <v>19000</v>
      </c>
      <c r="L12" s="7">
        <f t="shared" si="4"/>
        <v>5000</v>
      </c>
      <c r="M12" s="9">
        <f t="shared" si="5"/>
        <v>0</v>
      </c>
    </row>
    <row r="13" spans="2:13" x14ac:dyDescent="0.25">
      <c r="E13" s="5">
        <f t="shared" si="6"/>
        <v>51</v>
      </c>
      <c r="F13" s="5">
        <f t="shared" si="7"/>
        <v>12</v>
      </c>
      <c r="G13" s="7">
        <f t="shared" si="0"/>
        <v>15000</v>
      </c>
      <c r="H13" s="7">
        <f t="shared" si="1"/>
        <v>0</v>
      </c>
      <c r="I13" s="7">
        <f t="shared" si="8"/>
        <v>7200</v>
      </c>
      <c r="J13" s="7">
        <f t="shared" si="2"/>
        <v>0</v>
      </c>
      <c r="K13" s="7">
        <f t="shared" si="3"/>
        <v>19000</v>
      </c>
      <c r="L13" s="7">
        <f t="shared" si="4"/>
        <v>5000</v>
      </c>
      <c r="M13" s="9">
        <f t="shared" si="5"/>
        <v>30000</v>
      </c>
    </row>
    <row r="14" spans="2:13" x14ac:dyDescent="0.25">
      <c r="E14" s="5">
        <f t="shared" si="6"/>
        <v>52</v>
      </c>
      <c r="F14" s="5">
        <f t="shared" si="7"/>
        <v>13</v>
      </c>
      <c r="G14" s="7">
        <f t="shared" si="0"/>
        <v>15000</v>
      </c>
      <c r="H14" s="7">
        <f t="shared" si="1"/>
        <v>0</v>
      </c>
      <c r="I14" s="7">
        <f t="shared" si="8"/>
        <v>7200</v>
      </c>
      <c r="J14" s="7">
        <f t="shared" si="2"/>
        <v>0</v>
      </c>
      <c r="K14" s="7">
        <f t="shared" si="3"/>
        <v>19000</v>
      </c>
      <c r="L14" s="7">
        <f t="shared" si="4"/>
        <v>5000</v>
      </c>
      <c r="M14" s="9">
        <f t="shared" si="5"/>
        <v>0</v>
      </c>
    </row>
    <row r="15" spans="2:13" x14ac:dyDescent="0.25">
      <c r="E15" s="5">
        <f t="shared" si="6"/>
        <v>53</v>
      </c>
      <c r="F15" s="5">
        <f t="shared" si="7"/>
        <v>14</v>
      </c>
      <c r="G15" s="7">
        <f t="shared" si="0"/>
        <v>15000</v>
      </c>
      <c r="H15" s="7">
        <f t="shared" si="1"/>
        <v>0</v>
      </c>
      <c r="I15" s="7">
        <f t="shared" si="8"/>
        <v>7200</v>
      </c>
      <c r="J15" s="7">
        <f t="shared" si="2"/>
        <v>0</v>
      </c>
      <c r="K15" s="7">
        <f t="shared" si="3"/>
        <v>19000</v>
      </c>
      <c r="L15" s="7">
        <f t="shared" si="4"/>
        <v>5000</v>
      </c>
      <c r="M15" s="9">
        <f t="shared" si="5"/>
        <v>30000</v>
      </c>
    </row>
    <row r="16" spans="2:13" x14ac:dyDescent="0.25">
      <c r="E16" s="5">
        <f t="shared" si="6"/>
        <v>54</v>
      </c>
      <c r="F16" s="5">
        <f t="shared" si="7"/>
        <v>15</v>
      </c>
      <c r="G16" s="7">
        <f t="shared" si="0"/>
        <v>15000</v>
      </c>
      <c r="H16" s="7">
        <f t="shared" si="1"/>
        <v>0</v>
      </c>
      <c r="I16" s="7">
        <f t="shared" si="8"/>
        <v>7200</v>
      </c>
      <c r="J16" s="7">
        <f t="shared" si="2"/>
        <v>0</v>
      </c>
      <c r="K16" s="7">
        <f t="shared" si="3"/>
        <v>19000</v>
      </c>
      <c r="L16" s="7">
        <f t="shared" si="4"/>
        <v>5000</v>
      </c>
      <c r="M16" s="9">
        <f t="shared" si="5"/>
        <v>0</v>
      </c>
    </row>
    <row r="17" spans="5:13" x14ac:dyDescent="0.25">
      <c r="E17" s="5">
        <f t="shared" si="6"/>
        <v>55</v>
      </c>
      <c r="F17" s="5">
        <f t="shared" si="7"/>
        <v>16</v>
      </c>
      <c r="G17" s="7">
        <f t="shared" si="0"/>
        <v>15000</v>
      </c>
      <c r="H17" s="7">
        <f t="shared" si="1"/>
        <v>0</v>
      </c>
      <c r="I17" s="7">
        <f t="shared" si="8"/>
        <v>7200</v>
      </c>
      <c r="J17" s="7">
        <f t="shared" si="2"/>
        <v>0</v>
      </c>
      <c r="K17" s="7">
        <f t="shared" si="3"/>
        <v>25000</v>
      </c>
      <c r="L17" s="7">
        <f t="shared" si="4"/>
        <v>5000</v>
      </c>
      <c r="M17" s="9">
        <f t="shared" si="5"/>
        <v>30000</v>
      </c>
    </row>
    <row r="18" spans="5:13" x14ac:dyDescent="0.25">
      <c r="E18" s="5">
        <f t="shared" si="6"/>
        <v>56</v>
      </c>
      <c r="F18" s="5">
        <f t="shared" si="7"/>
        <v>17</v>
      </c>
      <c r="G18" s="7">
        <f t="shared" si="0"/>
        <v>15000</v>
      </c>
      <c r="H18" s="7">
        <f t="shared" si="1"/>
        <v>0</v>
      </c>
      <c r="I18" s="7">
        <f t="shared" si="8"/>
        <v>7200</v>
      </c>
      <c r="J18" s="7">
        <f t="shared" si="2"/>
        <v>0</v>
      </c>
      <c r="K18" s="7">
        <f t="shared" si="3"/>
        <v>25000</v>
      </c>
      <c r="L18" s="7">
        <f t="shared" si="4"/>
        <v>5000</v>
      </c>
      <c r="M18" s="9">
        <f t="shared" si="5"/>
        <v>0</v>
      </c>
    </row>
    <row r="19" spans="5:13" x14ac:dyDescent="0.25">
      <c r="E19" s="5">
        <f t="shared" si="6"/>
        <v>57</v>
      </c>
      <c r="F19" s="5">
        <f t="shared" si="7"/>
        <v>18</v>
      </c>
      <c r="G19" s="7">
        <f t="shared" si="0"/>
        <v>15000</v>
      </c>
      <c r="H19" s="7">
        <f t="shared" si="1"/>
        <v>0</v>
      </c>
      <c r="I19" s="7">
        <f t="shared" si="8"/>
        <v>7200</v>
      </c>
      <c r="J19" s="7">
        <f t="shared" si="2"/>
        <v>0</v>
      </c>
      <c r="K19" s="7">
        <f t="shared" si="3"/>
        <v>25000</v>
      </c>
      <c r="L19" s="7">
        <f t="shared" si="4"/>
        <v>5000</v>
      </c>
      <c r="M19" s="9">
        <f t="shared" si="5"/>
        <v>30000</v>
      </c>
    </row>
    <row r="20" spans="5:13" x14ac:dyDescent="0.25">
      <c r="E20" s="5">
        <f t="shared" si="6"/>
        <v>58</v>
      </c>
      <c r="F20" s="5">
        <f t="shared" si="7"/>
        <v>19</v>
      </c>
      <c r="G20" s="7">
        <f t="shared" si="0"/>
        <v>15000</v>
      </c>
      <c r="H20" s="7">
        <f t="shared" si="1"/>
        <v>0</v>
      </c>
      <c r="I20" s="7">
        <f t="shared" si="8"/>
        <v>7200</v>
      </c>
      <c r="J20" s="7">
        <f t="shared" si="2"/>
        <v>0</v>
      </c>
      <c r="K20" s="7">
        <f t="shared" si="3"/>
        <v>25000</v>
      </c>
      <c r="L20" s="7">
        <f t="shared" si="4"/>
        <v>5000</v>
      </c>
      <c r="M20" s="9">
        <f t="shared" si="5"/>
        <v>0</v>
      </c>
    </row>
    <row r="21" spans="5:13" x14ac:dyDescent="0.25">
      <c r="E21" s="5">
        <f t="shared" si="6"/>
        <v>59</v>
      </c>
      <c r="F21" s="5">
        <f t="shared" si="7"/>
        <v>20</v>
      </c>
      <c r="G21" s="7">
        <f t="shared" si="0"/>
        <v>15000</v>
      </c>
      <c r="H21" s="7">
        <f t="shared" si="1"/>
        <v>0</v>
      </c>
      <c r="I21" s="7">
        <f t="shared" si="8"/>
        <v>7200</v>
      </c>
      <c r="J21" s="7">
        <f t="shared" si="2"/>
        <v>0</v>
      </c>
      <c r="K21" s="7">
        <f t="shared" si="3"/>
        <v>25000</v>
      </c>
      <c r="L21" s="7">
        <f t="shared" si="4"/>
        <v>5000</v>
      </c>
      <c r="M21" s="9">
        <f t="shared" si="5"/>
        <v>30000</v>
      </c>
    </row>
    <row r="22" spans="5:13" x14ac:dyDescent="0.25">
      <c r="E22" s="5">
        <f t="shared" si="6"/>
        <v>60</v>
      </c>
      <c r="F22" s="5">
        <f t="shared" si="7"/>
        <v>21</v>
      </c>
      <c r="G22" s="7">
        <f t="shared" si="0"/>
        <v>15000</v>
      </c>
      <c r="H22" s="7">
        <f t="shared" si="1"/>
        <v>0</v>
      </c>
      <c r="I22" s="7">
        <f t="shared" si="8"/>
        <v>7200</v>
      </c>
      <c r="J22" s="7">
        <f t="shared" si="2"/>
        <v>60000</v>
      </c>
      <c r="K22" s="7">
        <f t="shared" si="3"/>
        <v>25000</v>
      </c>
      <c r="L22" s="7">
        <f t="shared" si="4"/>
        <v>5000</v>
      </c>
      <c r="M22" s="9">
        <f t="shared" si="5"/>
        <v>0</v>
      </c>
    </row>
    <row r="23" spans="5:13" x14ac:dyDescent="0.25">
      <c r="E23" s="5">
        <f t="shared" si="6"/>
        <v>61</v>
      </c>
      <c r="F23" s="5">
        <f t="shared" si="7"/>
        <v>22</v>
      </c>
      <c r="G23" s="7">
        <f t="shared" si="0"/>
        <v>15000</v>
      </c>
      <c r="H23" s="7">
        <f t="shared" si="1"/>
        <v>0</v>
      </c>
      <c r="I23" s="7">
        <f t="shared" si="8"/>
        <v>7200</v>
      </c>
      <c r="J23" s="7">
        <f t="shared" si="2"/>
        <v>61000</v>
      </c>
      <c r="K23" s="7">
        <f t="shared" si="3"/>
        <v>25000</v>
      </c>
      <c r="L23" s="7">
        <f t="shared" si="4"/>
        <v>5000</v>
      </c>
      <c r="M23" s="9">
        <f t="shared" si="5"/>
        <v>30000</v>
      </c>
    </row>
    <row r="24" spans="5:13" x14ac:dyDescent="0.25">
      <c r="E24" s="5">
        <f t="shared" si="6"/>
        <v>62</v>
      </c>
      <c r="F24" s="5">
        <f t="shared" si="7"/>
        <v>23</v>
      </c>
      <c r="G24" s="7">
        <f t="shared" si="0"/>
        <v>15000</v>
      </c>
      <c r="H24" s="7">
        <f t="shared" si="1"/>
        <v>0</v>
      </c>
      <c r="I24" s="7">
        <f t="shared" si="8"/>
        <v>7200</v>
      </c>
      <c r="J24" s="7">
        <f t="shared" si="2"/>
        <v>62000</v>
      </c>
      <c r="K24" s="7">
        <f t="shared" si="3"/>
        <v>25000</v>
      </c>
      <c r="L24" s="7">
        <f t="shared" si="4"/>
        <v>5000</v>
      </c>
      <c r="M24" s="9">
        <f t="shared" si="5"/>
        <v>0</v>
      </c>
    </row>
    <row r="25" spans="5:13" x14ac:dyDescent="0.25">
      <c r="E25" s="5">
        <f t="shared" si="6"/>
        <v>63</v>
      </c>
      <c r="F25" s="5">
        <f t="shared" si="7"/>
        <v>24</v>
      </c>
      <c r="G25" s="7">
        <f t="shared" si="0"/>
        <v>15000</v>
      </c>
      <c r="H25" s="7">
        <f t="shared" si="1"/>
        <v>0</v>
      </c>
      <c r="I25" s="7">
        <f t="shared" si="8"/>
        <v>7200</v>
      </c>
      <c r="J25" s="7">
        <f t="shared" si="2"/>
        <v>63000</v>
      </c>
      <c r="K25" s="7">
        <f t="shared" si="3"/>
        <v>25000</v>
      </c>
      <c r="L25" s="7">
        <f t="shared" si="4"/>
        <v>5000</v>
      </c>
      <c r="M25" s="9">
        <f t="shared" si="5"/>
        <v>30000</v>
      </c>
    </row>
    <row r="26" spans="5:13" x14ac:dyDescent="0.25">
      <c r="E26" s="5">
        <f t="shared" si="6"/>
        <v>64</v>
      </c>
      <c r="F26" s="5">
        <f t="shared" si="7"/>
        <v>25</v>
      </c>
      <c r="G26" s="7">
        <f t="shared" si="0"/>
        <v>15000</v>
      </c>
      <c r="H26" s="7">
        <f t="shared" si="1"/>
        <v>0</v>
      </c>
      <c r="I26" s="7">
        <f t="shared" si="8"/>
        <v>7200</v>
      </c>
      <c r="J26" s="7">
        <f t="shared" si="2"/>
        <v>64000</v>
      </c>
      <c r="K26" s="7">
        <f t="shared" si="3"/>
        <v>25000</v>
      </c>
      <c r="L26" s="7">
        <f t="shared" si="4"/>
        <v>5000</v>
      </c>
      <c r="M26" s="9">
        <f t="shared" si="5"/>
        <v>0</v>
      </c>
    </row>
    <row r="27" spans="5:13" x14ac:dyDescent="0.25">
      <c r="E27" s="5">
        <f t="shared" si="6"/>
        <v>65</v>
      </c>
      <c r="F27" s="5">
        <f t="shared" si="7"/>
        <v>26</v>
      </c>
      <c r="G27" s="7">
        <f t="shared" si="0"/>
        <v>0</v>
      </c>
      <c r="H27" s="7">
        <f t="shared" si="1"/>
        <v>25000</v>
      </c>
      <c r="I27" s="7">
        <f t="shared" si="8"/>
        <v>7200</v>
      </c>
      <c r="J27" s="7">
        <f t="shared" si="2"/>
        <v>65000</v>
      </c>
      <c r="K27" s="7">
        <f t="shared" si="3"/>
        <v>0</v>
      </c>
      <c r="L27" s="7">
        <f t="shared" si="4"/>
        <v>0</v>
      </c>
      <c r="M27" s="9">
        <f t="shared" si="5"/>
        <v>0</v>
      </c>
    </row>
    <row r="28" spans="5:13" x14ac:dyDescent="0.25">
      <c r="E28" s="5">
        <f t="shared" si="6"/>
        <v>66</v>
      </c>
      <c r="F28" s="5">
        <f t="shared" si="7"/>
        <v>27</v>
      </c>
      <c r="G28" s="7">
        <f t="shared" si="0"/>
        <v>0</v>
      </c>
      <c r="H28" s="7">
        <f t="shared" si="1"/>
        <v>26000</v>
      </c>
      <c r="I28" s="7">
        <f t="shared" si="8"/>
        <v>7200</v>
      </c>
      <c r="J28" s="7">
        <f t="shared" si="2"/>
        <v>66000</v>
      </c>
      <c r="K28" s="7">
        <f t="shared" si="3"/>
        <v>0</v>
      </c>
      <c r="L28" s="7">
        <f t="shared" si="4"/>
        <v>0</v>
      </c>
      <c r="M28" s="9">
        <f t="shared" si="5"/>
        <v>0</v>
      </c>
    </row>
    <row r="29" spans="5:13" x14ac:dyDescent="0.25">
      <c r="E29" s="5">
        <f t="shared" si="6"/>
        <v>67</v>
      </c>
      <c r="F29" s="5">
        <f t="shared" si="7"/>
        <v>28</v>
      </c>
      <c r="G29" s="7">
        <f t="shared" si="0"/>
        <v>0</v>
      </c>
      <c r="H29" s="7">
        <f t="shared" si="1"/>
        <v>27000</v>
      </c>
      <c r="I29" s="7">
        <f t="shared" si="8"/>
        <v>7200</v>
      </c>
      <c r="J29" s="7">
        <f t="shared" si="2"/>
        <v>67000</v>
      </c>
      <c r="K29" s="7">
        <f t="shared" si="3"/>
        <v>0</v>
      </c>
      <c r="L29" s="7">
        <f t="shared" si="4"/>
        <v>0</v>
      </c>
      <c r="M29" s="9">
        <f t="shared" si="5"/>
        <v>0</v>
      </c>
    </row>
    <row r="30" spans="5:13" x14ac:dyDescent="0.25">
      <c r="E30" s="5">
        <f t="shared" si="6"/>
        <v>68</v>
      </c>
      <c r="F30" s="5">
        <f t="shared" si="7"/>
        <v>29</v>
      </c>
      <c r="G30" s="7">
        <f t="shared" si="0"/>
        <v>0</v>
      </c>
      <c r="H30" s="7">
        <f t="shared" si="1"/>
        <v>28000</v>
      </c>
      <c r="I30" s="7">
        <f t="shared" si="8"/>
        <v>7200</v>
      </c>
      <c r="J30" s="7">
        <f t="shared" si="2"/>
        <v>68000</v>
      </c>
      <c r="K30" s="7">
        <f t="shared" si="3"/>
        <v>0</v>
      </c>
      <c r="L30" s="7">
        <f t="shared" si="4"/>
        <v>0</v>
      </c>
      <c r="M30" s="9">
        <f t="shared" si="5"/>
        <v>0</v>
      </c>
    </row>
    <row r="31" spans="5:13" x14ac:dyDescent="0.25">
      <c r="E31" s="5">
        <f t="shared" si="6"/>
        <v>69</v>
      </c>
      <c r="F31" s="5">
        <f t="shared" si="7"/>
        <v>30</v>
      </c>
      <c r="G31" s="7">
        <f t="shared" si="0"/>
        <v>0</v>
      </c>
      <c r="H31" s="7">
        <f t="shared" si="1"/>
        <v>29000</v>
      </c>
      <c r="I31" s="7">
        <f t="shared" si="8"/>
        <v>7200</v>
      </c>
      <c r="J31" s="7">
        <f t="shared" si="2"/>
        <v>69000</v>
      </c>
      <c r="K31" s="7">
        <f t="shared" si="3"/>
        <v>0</v>
      </c>
      <c r="L31" s="7">
        <f t="shared" si="4"/>
        <v>0</v>
      </c>
      <c r="M31" s="9">
        <f t="shared" si="5"/>
        <v>0</v>
      </c>
    </row>
    <row r="32" spans="5:13" x14ac:dyDescent="0.25">
      <c r="E32" s="5">
        <f t="shared" si="6"/>
        <v>70</v>
      </c>
      <c r="F32" s="5">
        <f t="shared" si="7"/>
        <v>31</v>
      </c>
      <c r="G32" s="7">
        <f t="shared" si="0"/>
        <v>0</v>
      </c>
      <c r="H32" s="7">
        <f t="shared" si="1"/>
        <v>30000</v>
      </c>
      <c r="I32" s="7">
        <f t="shared" si="8"/>
        <v>7200</v>
      </c>
      <c r="J32" s="7">
        <f t="shared" si="2"/>
        <v>70000</v>
      </c>
      <c r="K32" s="7">
        <f t="shared" si="3"/>
        <v>0</v>
      </c>
      <c r="L32" s="7">
        <f t="shared" si="4"/>
        <v>0</v>
      </c>
      <c r="M32" s="9">
        <f t="shared" si="5"/>
        <v>0</v>
      </c>
    </row>
    <row r="33" spans="5:13" x14ac:dyDescent="0.25">
      <c r="E33" s="5">
        <f t="shared" si="6"/>
        <v>71</v>
      </c>
      <c r="F33" s="5">
        <f t="shared" si="7"/>
        <v>32</v>
      </c>
      <c r="G33" s="7">
        <f t="shared" si="0"/>
        <v>0</v>
      </c>
      <c r="H33" s="7">
        <f t="shared" si="1"/>
        <v>31000</v>
      </c>
      <c r="I33" s="7">
        <f t="shared" si="8"/>
        <v>7200</v>
      </c>
      <c r="J33" s="7">
        <f t="shared" si="2"/>
        <v>71000</v>
      </c>
      <c r="K33" s="7">
        <f t="shared" si="3"/>
        <v>0</v>
      </c>
      <c r="L33" s="7">
        <f t="shared" si="4"/>
        <v>0</v>
      </c>
      <c r="M33" s="9">
        <f t="shared" si="5"/>
        <v>0</v>
      </c>
    </row>
    <row r="34" spans="5:13" x14ac:dyDescent="0.25">
      <c r="E34" s="5">
        <f t="shared" si="6"/>
        <v>72</v>
      </c>
      <c r="F34" s="5">
        <f t="shared" si="7"/>
        <v>33</v>
      </c>
      <c r="G34" s="7">
        <f t="shared" ref="G34:G65" si="9">IF(E34="","",IF(AND(E34&gt;=$C$4,E34&lt;($C$4+$C$5)),15000,0))</f>
        <v>0</v>
      </c>
      <c r="H34" s="7">
        <f t="shared" ref="H34:H65" si="10">IF(E34="","",IF(AND(E34&gt;=65,E34&lt;=94),(E34-40)*1000,0))</f>
        <v>32000</v>
      </c>
      <c r="I34" s="7">
        <f t="shared" si="8"/>
        <v>7200</v>
      </c>
      <c r="J34" s="7">
        <f t="shared" ref="J34:J65" si="11">IF(E34="","", IF(AND(E34 &gt;= 60, E34 &lt;= 100), E34*1000, 0))</f>
        <v>72000</v>
      </c>
      <c r="K34" s="7">
        <f t="shared" ref="K34:K65" si="12">IF(E34 = "", "", IF(AND(E34 &gt;= $C$4, E34 &lt; ($C$4+$C$5)), IF(E34 &lt; ($C$4 + ($C$5/2)), 19000, 25000), 0))</f>
        <v>0</v>
      </c>
      <c r="L34" s="7">
        <f t="shared" ref="L34:L65" si="13">IF(E34 = "", "", IF(AND(E34 &gt;= $C$4, E34 &lt; ($C$4+$C$5)), 100000/$C$5, 0))</f>
        <v>0</v>
      </c>
      <c r="M34" s="9">
        <f t="shared" ref="M34:M65" si="14">IF(E34 = "", "", IF(AND(E34 &gt;= $C$4, E34 &lt; ($C$4+$C$5)), IF(MOD(E34-$C$4, 2) = 0, 30000, 0), 0))</f>
        <v>0</v>
      </c>
    </row>
    <row r="35" spans="5:13" x14ac:dyDescent="0.25">
      <c r="E35" s="5">
        <f t="shared" ref="E35:E66" si="15">IF(F35="","",E34+1)</f>
        <v>73</v>
      </c>
      <c r="F35" s="5">
        <f t="shared" ref="F35:F66" si="16">IF(F34="","",IF($C$3+F34&lt;=110,F34+1,""))</f>
        <v>34</v>
      </c>
      <c r="G35" s="7">
        <f t="shared" si="9"/>
        <v>0</v>
      </c>
      <c r="H35" s="7">
        <f t="shared" si="10"/>
        <v>33000</v>
      </c>
      <c r="I35" s="7">
        <f t="shared" si="8"/>
        <v>7200</v>
      </c>
      <c r="J35" s="7">
        <f t="shared" si="11"/>
        <v>73000</v>
      </c>
      <c r="K35" s="7">
        <f t="shared" si="12"/>
        <v>0</v>
      </c>
      <c r="L35" s="7">
        <f t="shared" si="13"/>
        <v>0</v>
      </c>
      <c r="M35" s="9">
        <f t="shared" si="14"/>
        <v>0</v>
      </c>
    </row>
    <row r="36" spans="5:13" x14ac:dyDescent="0.25">
      <c r="E36" s="5">
        <f t="shared" si="15"/>
        <v>74</v>
      </c>
      <c r="F36" s="5">
        <f t="shared" si="16"/>
        <v>35</v>
      </c>
      <c r="G36" s="7">
        <f t="shared" si="9"/>
        <v>0</v>
      </c>
      <c r="H36" s="7">
        <f t="shared" si="10"/>
        <v>34000</v>
      </c>
      <c r="I36" s="7">
        <f t="shared" si="8"/>
        <v>7200</v>
      </c>
      <c r="J36" s="7">
        <f t="shared" si="11"/>
        <v>74000</v>
      </c>
      <c r="K36" s="7">
        <f t="shared" si="12"/>
        <v>0</v>
      </c>
      <c r="L36" s="7">
        <f t="shared" si="13"/>
        <v>0</v>
      </c>
      <c r="M36" s="9">
        <f t="shared" si="14"/>
        <v>0</v>
      </c>
    </row>
    <row r="37" spans="5:13" x14ac:dyDescent="0.25">
      <c r="E37" s="5">
        <f t="shared" si="15"/>
        <v>75</v>
      </c>
      <c r="F37" s="5">
        <f t="shared" si="16"/>
        <v>36</v>
      </c>
      <c r="G37" s="7">
        <f t="shared" si="9"/>
        <v>0</v>
      </c>
      <c r="H37" s="7">
        <f t="shared" si="10"/>
        <v>35000</v>
      </c>
      <c r="I37" s="7">
        <f t="shared" si="8"/>
        <v>7200</v>
      </c>
      <c r="J37" s="7">
        <f t="shared" si="11"/>
        <v>75000</v>
      </c>
      <c r="K37" s="7">
        <f t="shared" si="12"/>
        <v>0</v>
      </c>
      <c r="L37" s="7">
        <f t="shared" si="13"/>
        <v>0</v>
      </c>
      <c r="M37" s="9">
        <f t="shared" si="14"/>
        <v>0</v>
      </c>
    </row>
    <row r="38" spans="5:13" x14ac:dyDescent="0.25">
      <c r="E38" s="5">
        <f t="shared" si="15"/>
        <v>76</v>
      </c>
      <c r="F38" s="5">
        <f t="shared" si="16"/>
        <v>37</v>
      </c>
      <c r="G38" s="7">
        <f t="shared" si="9"/>
        <v>0</v>
      </c>
      <c r="H38" s="7">
        <f t="shared" si="10"/>
        <v>36000</v>
      </c>
      <c r="I38" s="7">
        <f t="shared" si="8"/>
        <v>7200</v>
      </c>
      <c r="J38" s="7">
        <f t="shared" si="11"/>
        <v>76000</v>
      </c>
      <c r="K38" s="7">
        <f t="shared" si="12"/>
        <v>0</v>
      </c>
      <c r="L38" s="7">
        <f t="shared" si="13"/>
        <v>0</v>
      </c>
      <c r="M38" s="9">
        <f t="shared" si="14"/>
        <v>0</v>
      </c>
    </row>
    <row r="39" spans="5:13" x14ac:dyDescent="0.25">
      <c r="E39" s="5">
        <f t="shared" si="15"/>
        <v>77</v>
      </c>
      <c r="F39" s="5">
        <f t="shared" si="16"/>
        <v>38</v>
      </c>
      <c r="G39" s="7">
        <f t="shared" si="9"/>
        <v>0</v>
      </c>
      <c r="H39" s="7">
        <f t="shared" si="10"/>
        <v>37000</v>
      </c>
      <c r="I39" s="7">
        <f t="shared" si="8"/>
        <v>7200</v>
      </c>
      <c r="J39" s="7">
        <f t="shared" si="11"/>
        <v>77000</v>
      </c>
      <c r="K39" s="7">
        <f t="shared" si="12"/>
        <v>0</v>
      </c>
      <c r="L39" s="7">
        <f t="shared" si="13"/>
        <v>0</v>
      </c>
      <c r="M39" s="9">
        <f t="shared" si="14"/>
        <v>0</v>
      </c>
    </row>
    <row r="40" spans="5:13" x14ac:dyDescent="0.25">
      <c r="E40" s="5">
        <f t="shared" si="15"/>
        <v>78</v>
      </c>
      <c r="F40" s="5">
        <f t="shared" si="16"/>
        <v>39</v>
      </c>
      <c r="G40" s="7">
        <f t="shared" si="9"/>
        <v>0</v>
      </c>
      <c r="H40" s="7">
        <f t="shared" si="10"/>
        <v>38000</v>
      </c>
      <c r="I40" s="7">
        <f t="shared" si="8"/>
        <v>7200</v>
      </c>
      <c r="J40" s="7">
        <f t="shared" si="11"/>
        <v>78000</v>
      </c>
      <c r="K40" s="7">
        <f t="shared" si="12"/>
        <v>0</v>
      </c>
      <c r="L40" s="7">
        <f t="shared" si="13"/>
        <v>0</v>
      </c>
      <c r="M40" s="9">
        <f t="shared" si="14"/>
        <v>0</v>
      </c>
    </row>
    <row r="41" spans="5:13" x14ac:dyDescent="0.25">
      <c r="E41" s="5">
        <f t="shared" si="15"/>
        <v>79</v>
      </c>
      <c r="F41" s="5">
        <f t="shared" si="16"/>
        <v>40</v>
      </c>
      <c r="G41" s="7">
        <f t="shared" si="9"/>
        <v>0</v>
      </c>
      <c r="H41" s="7">
        <f t="shared" si="10"/>
        <v>39000</v>
      </c>
      <c r="I41" s="7">
        <f t="shared" si="8"/>
        <v>7200</v>
      </c>
      <c r="J41" s="7">
        <f t="shared" si="11"/>
        <v>79000</v>
      </c>
      <c r="K41" s="7">
        <f t="shared" si="12"/>
        <v>0</v>
      </c>
      <c r="L41" s="7">
        <f t="shared" si="13"/>
        <v>0</v>
      </c>
      <c r="M41" s="9">
        <f t="shared" si="14"/>
        <v>0</v>
      </c>
    </row>
    <row r="42" spans="5:13" x14ac:dyDescent="0.25">
      <c r="E42" s="5">
        <f t="shared" si="15"/>
        <v>80</v>
      </c>
      <c r="F42" s="5">
        <f t="shared" si="16"/>
        <v>41</v>
      </c>
      <c r="G42" s="7">
        <f t="shared" si="9"/>
        <v>0</v>
      </c>
      <c r="H42" s="7">
        <f t="shared" si="10"/>
        <v>40000</v>
      </c>
      <c r="I42" s="7">
        <f t="shared" si="8"/>
        <v>7200</v>
      </c>
      <c r="J42" s="7">
        <f t="shared" si="11"/>
        <v>80000</v>
      </c>
      <c r="K42" s="7">
        <f t="shared" si="12"/>
        <v>0</v>
      </c>
      <c r="L42" s="7">
        <f t="shared" si="13"/>
        <v>0</v>
      </c>
      <c r="M42" s="9">
        <f t="shared" si="14"/>
        <v>0</v>
      </c>
    </row>
    <row r="43" spans="5:13" x14ac:dyDescent="0.25">
      <c r="E43" s="5">
        <f t="shared" si="15"/>
        <v>81</v>
      </c>
      <c r="F43" s="5">
        <f t="shared" si="16"/>
        <v>42</v>
      </c>
      <c r="G43" s="7">
        <f t="shared" si="9"/>
        <v>0</v>
      </c>
      <c r="H43" s="7">
        <f t="shared" si="10"/>
        <v>41000</v>
      </c>
      <c r="I43" s="7">
        <f t="shared" si="8"/>
        <v>7200</v>
      </c>
      <c r="J43" s="7">
        <f t="shared" si="11"/>
        <v>81000</v>
      </c>
      <c r="K43" s="7">
        <f t="shared" si="12"/>
        <v>0</v>
      </c>
      <c r="L43" s="7">
        <f t="shared" si="13"/>
        <v>0</v>
      </c>
      <c r="M43" s="9">
        <f t="shared" si="14"/>
        <v>0</v>
      </c>
    </row>
    <row r="44" spans="5:13" x14ac:dyDescent="0.25">
      <c r="E44" s="5">
        <f t="shared" si="15"/>
        <v>82</v>
      </c>
      <c r="F44" s="5">
        <f t="shared" si="16"/>
        <v>43</v>
      </c>
      <c r="G44" s="7">
        <f t="shared" si="9"/>
        <v>0</v>
      </c>
      <c r="H44" s="7">
        <f t="shared" si="10"/>
        <v>42000</v>
      </c>
      <c r="I44" s="7">
        <f t="shared" si="8"/>
        <v>7200</v>
      </c>
      <c r="J44" s="7">
        <f t="shared" si="11"/>
        <v>82000</v>
      </c>
      <c r="K44" s="7">
        <f t="shared" si="12"/>
        <v>0</v>
      </c>
      <c r="L44" s="7">
        <f t="shared" si="13"/>
        <v>0</v>
      </c>
      <c r="M44" s="9">
        <f t="shared" si="14"/>
        <v>0</v>
      </c>
    </row>
    <row r="45" spans="5:13" x14ac:dyDescent="0.25">
      <c r="E45" s="5">
        <f t="shared" si="15"/>
        <v>83</v>
      </c>
      <c r="F45" s="5">
        <f t="shared" si="16"/>
        <v>44</v>
      </c>
      <c r="G45" s="7">
        <f t="shared" si="9"/>
        <v>0</v>
      </c>
      <c r="H45" s="7">
        <f t="shared" si="10"/>
        <v>43000</v>
      </c>
      <c r="I45" s="7">
        <f t="shared" si="8"/>
        <v>7200</v>
      </c>
      <c r="J45" s="7">
        <f t="shared" si="11"/>
        <v>83000</v>
      </c>
      <c r="K45" s="7">
        <f t="shared" si="12"/>
        <v>0</v>
      </c>
      <c r="L45" s="7">
        <f t="shared" si="13"/>
        <v>0</v>
      </c>
      <c r="M45" s="9">
        <f t="shared" si="14"/>
        <v>0</v>
      </c>
    </row>
    <row r="46" spans="5:13" x14ac:dyDescent="0.25">
      <c r="E46" s="5">
        <f t="shared" si="15"/>
        <v>84</v>
      </c>
      <c r="F46" s="5">
        <f t="shared" si="16"/>
        <v>45</v>
      </c>
      <c r="G46" s="7">
        <f t="shared" si="9"/>
        <v>0</v>
      </c>
      <c r="H46" s="7">
        <f t="shared" si="10"/>
        <v>44000</v>
      </c>
      <c r="I46" s="7">
        <f t="shared" si="8"/>
        <v>7200</v>
      </c>
      <c r="J46" s="7">
        <f t="shared" si="11"/>
        <v>84000</v>
      </c>
      <c r="K46" s="7">
        <f t="shared" si="12"/>
        <v>0</v>
      </c>
      <c r="L46" s="7">
        <f t="shared" si="13"/>
        <v>0</v>
      </c>
      <c r="M46" s="9">
        <f t="shared" si="14"/>
        <v>0</v>
      </c>
    </row>
    <row r="47" spans="5:13" x14ac:dyDescent="0.25">
      <c r="E47" s="5">
        <f t="shared" si="15"/>
        <v>85</v>
      </c>
      <c r="F47" s="5">
        <f t="shared" si="16"/>
        <v>46</v>
      </c>
      <c r="G47" s="7">
        <f t="shared" si="9"/>
        <v>0</v>
      </c>
      <c r="H47" s="7">
        <f t="shared" si="10"/>
        <v>45000</v>
      </c>
      <c r="I47" s="7">
        <f t="shared" si="8"/>
        <v>7200</v>
      </c>
      <c r="J47" s="7">
        <f t="shared" si="11"/>
        <v>85000</v>
      </c>
      <c r="K47" s="7">
        <f t="shared" si="12"/>
        <v>0</v>
      </c>
      <c r="L47" s="7">
        <f t="shared" si="13"/>
        <v>0</v>
      </c>
      <c r="M47" s="9">
        <f t="shared" si="14"/>
        <v>0</v>
      </c>
    </row>
    <row r="48" spans="5:13" x14ac:dyDescent="0.25">
      <c r="E48" s="5">
        <f t="shared" si="15"/>
        <v>86</v>
      </c>
      <c r="F48" s="5">
        <f t="shared" si="16"/>
        <v>47</v>
      </c>
      <c r="G48" s="7">
        <f t="shared" si="9"/>
        <v>0</v>
      </c>
      <c r="H48" s="7">
        <f t="shared" si="10"/>
        <v>46000</v>
      </c>
      <c r="I48" s="7">
        <f t="shared" si="8"/>
        <v>7200</v>
      </c>
      <c r="J48" s="7">
        <f t="shared" si="11"/>
        <v>86000</v>
      </c>
      <c r="K48" s="7">
        <f t="shared" si="12"/>
        <v>0</v>
      </c>
      <c r="L48" s="7">
        <f t="shared" si="13"/>
        <v>0</v>
      </c>
      <c r="M48" s="9">
        <f t="shared" si="14"/>
        <v>0</v>
      </c>
    </row>
    <row r="49" spans="5:13" x14ac:dyDescent="0.25">
      <c r="E49" s="5">
        <f t="shared" si="15"/>
        <v>87</v>
      </c>
      <c r="F49" s="5">
        <f t="shared" si="16"/>
        <v>48</v>
      </c>
      <c r="G49" s="7">
        <f t="shared" si="9"/>
        <v>0</v>
      </c>
      <c r="H49" s="7">
        <f t="shared" si="10"/>
        <v>47000</v>
      </c>
      <c r="I49" s="7">
        <f t="shared" si="8"/>
        <v>7200</v>
      </c>
      <c r="J49" s="7">
        <f t="shared" si="11"/>
        <v>87000</v>
      </c>
      <c r="K49" s="7">
        <f t="shared" si="12"/>
        <v>0</v>
      </c>
      <c r="L49" s="7">
        <f t="shared" si="13"/>
        <v>0</v>
      </c>
      <c r="M49" s="9">
        <f t="shared" si="14"/>
        <v>0</v>
      </c>
    </row>
    <row r="50" spans="5:13" x14ac:dyDescent="0.25">
      <c r="E50" s="5">
        <f t="shared" si="15"/>
        <v>88</v>
      </c>
      <c r="F50" s="5">
        <f t="shared" si="16"/>
        <v>49</v>
      </c>
      <c r="G50" s="7">
        <f t="shared" si="9"/>
        <v>0</v>
      </c>
      <c r="H50" s="7">
        <f t="shared" si="10"/>
        <v>48000</v>
      </c>
      <c r="I50" s="7">
        <f t="shared" si="8"/>
        <v>7200</v>
      </c>
      <c r="J50" s="7">
        <f t="shared" si="11"/>
        <v>88000</v>
      </c>
      <c r="K50" s="7">
        <f t="shared" si="12"/>
        <v>0</v>
      </c>
      <c r="L50" s="7">
        <f t="shared" si="13"/>
        <v>0</v>
      </c>
      <c r="M50" s="9">
        <f t="shared" si="14"/>
        <v>0</v>
      </c>
    </row>
    <row r="51" spans="5:13" x14ac:dyDescent="0.25">
      <c r="E51" s="5">
        <f t="shared" si="15"/>
        <v>89</v>
      </c>
      <c r="F51" s="5">
        <f t="shared" si="16"/>
        <v>50</v>
      </c>
      <c r="G51" s="7">
        <f t="shared" si="9"/>
        <v>0</v>
      </c>
      <c r="H51" s="7">
        <f t="shared" si="10"/>
        <v>49000</v>
      </c>
      <c r="I51" s="7">
        <f t="shared" si="8"/>
        <v>7200</v>
      </c>
      <c r="J51" s="7">
        <f t="shared" si="11"/>
        <v>89000</v>
      </c>
      <c r="K51" s="7">
        <f t="shared" si="12"/>
        <v>0</v>
      </c>
      <c r="L51" s="7">
        <f t="shared" si="13"/>
        <v>0</v>
      </c>
      <c r="M51" s="9">
        <f t="shared" si="14"/>
        <v>0</v>
      </c>
    </row>
    <row r="52" spans="5:13" x14ac:dyDescent="0.25">
      <c r="E52" s="5">
        <f t="shared" si="15"/>
        <v>90</v>
      </c>
      <c r="F52" s="5">
        <f t="shared" si="16"/>
        <v>51</v>
      </c>
      <c r="G52" s="7">
        <f t="shared" si="9"/>
        <v>0</v>
      </c>
      <c r="H52" s="7">
        <f t="shared" si="10"/>
        <v>50000</v>
      </c>
      <c r="I52" s="7">
        <f t="shared" si="8"/>
        <v>7200</v>
      </c>
      <c r="J52" s="7">
        <f t="shared" si="11"/>
        <v>90000</v>
      </c>
      <c r="K52" s="7">
        <f t="shared" si="12"/>
        <v>0</v>
      </c>
      <c r="L52" s="7">
        <f t="shared" si="13"/>
        <v>0</v>
      </c>
      <c r="M52" s="9">
        <f t="shared" si="14"/>
        <v>0</v>
      </c>
    </row>
    <row r="53" spans="5:13" x14ac:dyDescent="0.25">
      <c r="E53" s="5">
        <f t="shared" si="15"/>
        <v>91</v>
      </c>
      <c r="F53" s="5">
        <f t="shared" si="16"/>
        <v>52</v>
      </c>
      <c r="G53" s="7">
        <f t="shared" si="9"/>
        <v>0</v>
      </c>
      <c r="H53" s="7">
        <f t="shared" si="10"/>
        <v>51000</v>
      </c>
      <c r="I53" s="7">
        <f t="shared" si="8"/>
        <v>7200</v>
      </c>
      <c r="J53" s="7">
        <f t="shared" si="11"/>
        <v>91000</v>
      </c>
      <c r="K53" s="7">
        <f t="shared" si="12"/>
        <v>0</v>
      </c>
      <c r="L53" s="7">
        <f t="shared" si="13"/>
        <v>0</v>
      </c>
      <c r="M53" s="9">
        <f t="shared" si="14"/>
        <v>0</v>
      </c>
    </row>
    <row r="54" spans="5:13" x14ac:dyDescent="0.25">
      <c r="E54" s="5">
        <f t="shared" si="15"/>
        <v>92</v>
      </c>
      <c r="F54" s="5">
        <f t="shared" si="16"/>
        <v>53</v>
      </c>
      <c r="G54" s="7">
        <f t="shared" si="9"/>
        <v>0</v>
      </c>
      <c r="H54" s="7">
        <f t="shared" si="10"/>
        <v>52000</v>
      </c>
      <c r="I54" s="7">
        <f t="shared" si="8"/>
        <v>7200</v>
      </c>
      <c r="J54" s="7">
        <f t="shared" si="11"/>
        <v>92000</v>
      </c>
      <c r="K54" s="7">
        <f t="shared" si="12"/>
        <v>0</v>
      </c>
      <c r="L54" s="7">
        <f t="shared" si="13"/>
        <v>0</v>
      </c>
      <c r="M54" s="9">
        <f t="shared" si="14"/>
        <v>0</v>
      </c>
    </row>
    <row r="55" spans="5:13" x14ac:dyDescent="0.25">
      <c r="E55" s="5">
        <f t="shared" si="15"/>
        <v>93</v>
      </c>
      <c r="F55" s="5">
        <f t="shared" si="16"/>
        <v>54</v>
      </c>
      <c r="G55" s="7">
        <f t="shared" si="9"/>
        <v>0</v>
      </c>
      <c r="H55" s="7">
        <f t="shared" si="10"/>
        <v>53000</v>
      </c>
      <c r="I55" s="7">
        <f t="shared" si="8"/>
        <v>7200</v>
      </c>
      <c r="J55" s="7">
        <f t="shared" si="11"/>
        <v>93000</v>
      </c>
      <c r="K55" s="7">
        <f t="shared" si="12"/>
        <v>0</v>
      </c>
      <c r="L55" s="7">
        <f t="shared" si="13"/>
        <v>0</v>
      </c>
      <c r="M55" s="9">
        <f t="shared" si="14"/>
        <v>0</v>
      </c>
    </row>
    <row r="56" spans="5:13" x14ac:dyDescent="0.25">
      <c r="E56" s="5">
        <f t="shared" si="15"/>
        <v>94</v>
      </c>
      <c r="F56" s="5">
        <f t="shared" si="16"/>
        <v>55</v>
      </c>
      <c r="G56" s="7">
        <f t="shared" si="9"/>
        <v>0</v>
      </c>
      <c r="H56" s="7">
        <f t="shared" si="10"/>
        <v>54000</v>
      </c>
      <c r="I56" s="7">
        <f t="shared" si="8"/>
        <v>7200</v>
      </c>
      <c r="J56" s="7">
        <f t="shared" si="11"/>
        <v>94000</v>
      </c>
      <c r="K56" s="7">
        <f t="shared" si="12"/>
        <v>0</v>
      </c>
      <c r="L56" s="7">
        <f t="shared" si="13"/>
        <v>0</v>
      </c>
      <c r="M56" s="9">
        <f t="shared" si="14"/>
        <v>0</v>
      </c>
    </row>
    <row r="57" spans="5:13" x14ac:dyDescent="0.25">
      <c r="E57" s="5">
        <f t="shared" si="15"/>
        <v>95</v>
      </c>
      <c r="F57" s="5">
        <f t="shared" si="16"/>
        <v>56</v>
      </c>
      <c r="G57" s="7">
        <f t="shared" si="9"/>
        <v>0</v>
      </c>
      <c r="H57" s="7">
        <f t="shared" si="10"/>
        <v>0</v>
      </c>
      <c r="I57" s="7">
        <f t="shared" si="8"/>
        <v>7200</v>
      </c>
      <c r="J57" s="7">
        <f t="shared" si="11"/>
        <v>95000</v>
      </c>
      <c r="K57" s="7">
        <f t="shared" si="12"/>
        <v>0</v>
      </c>
      <c r="L57" s="7">
        <f t="shared" si="13"/>
        <v>0</v>
      </c>
      <c r="M57" s="9">
        <f t="shared" si="14"/>
        <v>0</v>
      </c>
    </row>
    <row r="58" spans="5:13" x14ac:dyDescent="0.25">
      <c r="E58" s="5">
        <f t="shared" si="15"/>
        <v>96</v>
      </c>
      <c r="F58" s="5">
        <f t="shared" si="16"/>
        <v>57</v>
      </c>
      <c r="G58" s="7">
        <f t="shared" si="9"/>
        <v>0</v>
      </c>
      <c r="H58" s="7">
        <f t="shared" si="10"/>
        <v>0</v>
      </c>
      <c r="I58" s="7">
        <f t="shared" si="8"/>
        <v>7200</v>
      </c>
      <c r="J58" s="7">
        <f t="shared" si="11"/>
        <v>96000</v>
      </c>
      <c r="K58" s="7">
        <f t="shared" si="12"/>
        <v>0</v>
      </c>
      <c r="L58" s="7">
        <f t="shared" si="13"/>
        <v>0</v>
      </c>
      <c r="M58" s="9">
        <f t="shared" si="14"/>
        <v>0</v>
      </c>
    </row>
    <row r="59" spans="5:13" x14ac:dyDescent="0.25">
      <c r="E59" s="5">
        <f t="shared" si="15"/>
        <v>97</v>
      </c>
      <c r="F59" s="5">
        <f t="shared" si="16"/>
        <v>58</v>
      </c>
      <c r="G59" s="7">
        <f t="shared" si="9"/>
        <v>0</v>
      </c>
      <c r="H59" s="7">
        <f t="shared" si="10"/>
        <v>0</v>
      </c>
      <c r="I59" s="7">
        <f t="shared" si="8"/>
        <v>7200</v>
      </c>
      <c r="J59" s="7">
        <f t="shared" si="11"/>
        <v>97000</v>
      </c>
      <c r="K59" s="7">
        <f t="shared" si="12"/>
        <v>0</v>
      </c>
      <c r="L59" s="7">
        <f t="shared" si="13"/>
        <v>0</v>
      </c>
      <c r="M59" s="9">
        <f t="shared" si="14"/>
        <v>0</v>
      </c>
    </row>
    <row r="60" spans="5:13" x14ac:dyDescent="0.25">
      <c r="E60" s="5">
        <f t="shared" si="15"/>
        <v>98</v>
      </c>
      <c r="F60" s="5">
        <f t="shared" si="16"/>
        <v>59</v>
      </c>
      <c r="G60" s="7">
        <f t="shared" si="9"/>
        <v>0</v>
      </c>
      <c r="H60" s="7">
        <f t="shared" si="10"/>
        <v>0</v>
      </c>
      <c r="I60" s="7">
        <f t="shared" si="8"/>
        <v>7200</v>
      </c>
      <c r="J60" s="7">
        <f t="shared" si="11"/>
        <v>98000</v>
      </c>
      <c r="K60" s="7">
        <f t="shared" si="12"/>
        <v>0</v>
      </c>
      <c r="L60" s="7">
        <f t="shared" si="13"/>
        <v>0</v>
      </c>
      <c r="M60" s="9">
        <f t="shared" si="14"/>
        <v>0</v>
      </c>
    </row>
    <row r="61" spans="5:13" x14ac:dyDescent="0.25">
      <c r="E61" s="5">
        <f t="shared" si="15"/>
        <v>99</v>
      </c>
      <c r="F61" s="5">
        <f t="shared" si="16"/>
        <v>60</v>
      </c>
      <c r="G61" s="7">
        <f t="shared" si="9"/>
        <v>0</v>
      </c>
      <c r="H61" s="7">
        <f t="shared" si="10"/>
        <v>0</v>
      </c>
      <c r="I61" s="7">
        <f t="shared" si="8"/>
        <v>7200</v>
      </c>
      <c r="J61" s="7">
        <f t="shared" si="11"/>
        <v>99000</v>
      </c>
      <c r="K61" s="7">
        <f t="shared" si="12"/>
        <v>0</v>
      </c>
      <c r="L61" s="7">
        <f t="shared" si="13"/>
        <v>0</v>
      </c>
      <c r="M61" s="9">
        <f t="shared" si="14"/>
        <v>0</v>
      </c>
    </row>
    <row r="62" spans="5:13" x14ac:dyDescent="0.25">
      <c r="E62" s="5">
        <f t="shared" si="15"/>
        <v>100</v>
      </c>
      <c r="F62" s="5">
        <f t="shared" si="16"/>
        <v>61</v>
      </c>
      <c r="G62" s="7">
        <f t="shared" si="9"/>
        <v>0</v>
      </c>
      <c r="H62" s="7">
        <f t="shared" si="10"/>
        <v>0</v>
      </c>
      <c r="I62" s="7">
        <f t="shared" si="8"/>
        <v>7200</v>
      </c>
      <c r="J62" s="7">
        <f t="shared" si="11"/>
        <v>100000</v>
      </c>
      <c r="K62" s="7">
        <f t="shared" si="12"/>
        <v>0</v>
      </c>
      <c r="L62" s="7">
        <f t="shared" si="13"/>
        <v>0</v>
      </c>
      <c r="M62" s="9">
        <f t="shared" si="14"/>
        <v>0</v>
      </c>
    </row>
    <row r="63" spans="5:13" x14ac:dyDescent="0.25">
      <c r="E63" s="5">
        <f t="shared" si="15"/>
        <v>101</v>
      </c>
      <c r="F63" s="5">
        <f t="shared" si="16"/>
        <v>62</v>
      </c>
      <c r="G63" s="7">
        <f t="shared" si="9"/>
        <v>0</v>
      </c>
      <c r="H63" s="7">
        <f t="shared" si="10"/>
        <v>0</v>
      </c>
      <c r="I63" s="7">
        <f t="shared" si="8"/>
        <v>7200</v>
      </c>
      <c r="J63" s="7">
        <f t="shared" si="11"/>
        <v>0</v>
      </c>
      <c r="K63" s="7">
        <f t="shared" si="12"/>
        <v>0</v>
      </c>
      <c r="L63" s="7">
        <f t="shared" si="13"/>
        <v>0</v>
      </c>
      <c r="M63" s="9">
        <f t="shared" si="14"/>
        <v>0</v>
      </c>
    </row>
    <row r="64" spans="5:13" x14ac:dyDescent="0.25">
      <c r="E64" s="5">
        <f t="shared" si="15"/>
        <v>102</v>
      </c>
      <c r="F64" s="5">
        <f t="shared" si="16"/>
        <v>63</v>
      </c>
      <c r="G64" s="7">
        <f t="shared" si="9"/>
        <v>0</v>
      </c>
      <c r="H64" s="7">
        <f t="shared" si="10"/>
        <v>0</v>
      </c>
      <c r="I64" s="7">
        <f t="shared" si="8"/>
        <v>7200</v>
      </c>
      <c r="J64" s="7">
        <f t="shared" si="11"/>
        <v>0</v>
      </c>
      <c r="K64" s="7">
        <f t="shared" si="12"/>
        <v>0</v>
      </c>
      <c r="L64" s="7">
        <f t="shared" si="13"/>
        <v>0</v>
      </c>
      <c r="M64" s="9">
        <f t="shared" si="14"/>
        <v>0</v>
      </c>
    </row>
    <row r="65" spans="5:13" x14ac:dyDescent="0.25">
      <c r="E65" s="5">
        <f t="shared" si="15"/>
        <v>103</v>
      </c>
      <c r="F65" s="5">
        <f t="shared" si="16"/>
        <v>64</v>
      </c>
      <c r="G65" s="7">
        <f t="shared" si="9"/>
        <v>0</v>
      </c>
      <c r="H65" s="7">
        <f t="shared" si="10"/>
        <v>0</v>
      </c>
      <c r="I65" s="7">
        <f t="shared" si="8"/>
        <v>7200</v>
      </c>
      <c r="J65" s="7">
        <f t="shared" si="11"/>
        <v>0</v>
      </c>
      <c r="K65" s="7">
        <f t="shared" si="12"/>
        <v>0</v>
      </c>
      <c r="L65" s="7">
        <f t="shared" si="13"/>
        <v>0</v>
      </c>
      <c r="M65" s="9">
        <f t="shared" si="14"/>
        <v>0</v>
      </c>
    </row>
    <row r="66" spans="5:13" x14ac:dyDescent="0.25">
      <c r="E66" s="5">
        <f t="shared" si="15"/>
        <v>104</v>
      </c>
      <c r="F66" s="5">
        <f t="shared" si="16"/>
        <v>65</v>
      </c>
      <c r="G66" s="7">
        <f t="shared" ref="G66:G72" si="17">IF(E66="","",IF(AND(E66&gt;=$C$4,E66&lt;($C$4+$C$5)),15000,0))</f>
        <v>0</v>
      </c>
      <c r="H66" s="7">
        <f t="shared" ref="H66:H72" si="18">IF(E66="","",IF(AND(E66&gt;=65,E66&lt;=94),(E66-40)*1000,0))</f>
        <v>0</v>
      </c>
      <c r="I66" s="7">
        <f t="shared" si="8"/>
        <v>7200</v>
      </c>
      <c r="J66" s="7">
        <f t="shared" ref="J66:J72" si="19">IF(E66="","", IF(AND(E66 &gt;= 60, E66 &lt;= 100), E66*1000, 0))</f>
        <v>0</v>
      </c>
      <c r="K66" s="7">
        <f t="shared" ref="K66:K72" si="20">IF(E66 = "", "", IF(AND(E66 &gt;= $C$4, E66 &lt; ($C$4+$C$5)), IF(E66 &lt; ($C$4 + ($C$5/2)), 19000, 25000), 0))</f>
        <v>0</v>
      </c>
      <c r="L66" s="7">
        <f t="shared" ref="L66:L72" si="21">IF(E66 = "", "", IF(AND(E66 &gt;= $C$4, E66 &lt; ($C$4+$C$5)), 100000/$C$5, 0))</f>
        <v>0</v>
      </c>
      <c r="M66" s="9">
        <f t="shared" ref="M66:M72" si="22">IF(E66 = "", "", IF(AND(E66 &gt;= $C$4, E66 &lt; ($C$4+$C$5)), IF(MOD(E66-$C$4, 2) = 0, 30000, 0), 0))</f>
        <v>0</v>
      </c>
    </row>
    <row r="67" spans="5:13" x14ac:dyDescent="0.25">
      <c r="E67" s="5">
        <f t="shared" ref="E67:E72" si="23">IF(F67="","",E66+1)</f>
        <v>105</v>
      </c>
      <c r="F67" s="5">
        <f t="shared" ref="F67:F72" si="24">IF(F66="","",IF($C$3+F66&lt;=110,F66+1,""))</f>
        <v>66</v>
      </c>
      <c r="G67" s="7">
        <f t="shared" si="17"/>
        <v>0</v>
      </c>
      <c r="H67" s="7">
        <f t="shared" si="18"/>
        <v>0</v>
      </c>
      <c r="I67" s="7">
        <f t="shared" ref="I67:I72" si="25">IF(E67="","", IF(AND($C$4 &lt;&gt; 0, E67 &gt;= $C$4), 7200, 0))</f>
        <v>7200</v>
      </c>
      <c r="J67" s="7">
        <f t="shared" si="19"/>
        <v>0</v>
      </c>
      <c r="K67" s="7">
        <f t="shared" si="20"/>
        <v>0</v>
      </c>
      <c r="L67" s="7">
        <f t="shared" si="21"/>
        <v>0</v>
      </c>
      <c r="M67" s="9">
        <f t="shared" si="22"/>
        <v>0</v>
      </c>
    </row>
    <row r="68" spans="5:13" x14ac:dyDescent="0.25">
      <c r="E68" s="5">
        <f t="shared" si="23"/>
        <v>106</v>
      </c>
      <c r="F68" s="5">
        <f t="shared" si="24"/>
        <v>67</v>
      </c>
      <c r="G68" s="7">
        <f t="shared" si="17"/>
        <v>0</v>
      </c>
      <c r="H68" s="7">
        <f t="shared" si="18"/>
        <v>0</v>
      </c>
      <c r="I68" s="7">
        <f t="shared" si="25"/>
        <v>7200</v>
      </c>
      <c r="J68" s="7">
        <f t="shared" si="19"/>
        <v>0</v>
      </c>
      <c r="K68" s="7">
        <f t="shared" si="20"/>
        <v>0</v>
      </c>
      <c r="L68" s="7">
        <f t="shared" si="21"/>
        <v>0</v>
      </c>
      <c r="M68" s="9">
        <f t="shared" si="22"/>
        <v>0</v>
      </c>
    </row>
    <row r="69" spans="5:13" x14ac:dyDescent="0.25">
      <c r="E69" s="5">
        <f t="shared" si="23"/>
        <v>107</v>
      </c>
      <c r="F69" s="5">
        <f t="shared" si="24"/>
        <v>68</v>
      </c>
      <c r="G69" s="7">
        <f t="shared" si="17"/>
        <v>0</v>
      </c>
      <c r="H69" s="7">
        <f t="shared" si="18"/>
        <v>0</v>
      </c>
      <c r="I69" s="7">
        <f t="shared" si="25"/>
        <v>7200</v>
      </c>
      <c r="J69" s="7">
        <f t="shared" si="19"/>
        <v>0</v>
      </c>
      <c r="K69" s="7">
        <f t="shared" si="20"/>
        <v>0</v>
      </c>
      <c r="L69" s="7">
        <f t="shared" si="21"/>
        <v>0</v>
      </c>
      <c r="M69" s="9">
        <f t="shared" si="22"/>
        <v>0</v>
      </c>
    </row>
    <row r="70" spans="5:13" x14ac:dyDescent="0.25">
      <c r="E70" s="5">
        <f t="shared" si="23"/>
        <v>108</v>
      </c>
      <c r="F70" s="5">
        <f t="shared" si="24"/>
        <v>69</v>
      </c>
      <c r="G70" s="7">
        <f t="shared" si="17"/>
        <v>0</v>
      </c>
      <c r="H70" s="7">
        <f t="shared" si="18"/>
        <v>0</v>
      </c>
      <c r="I70" s="7">
        <f t="shared" si="25"/>
        <v>7200</v>
      </c>
      <c r="J70" s="7">
        <f t="shared" si="19"/>
        <v>0</v>
      </c>
      <c r="K70" s="7">
        <f t="shared" si="20"/>
        <v>0</v>
      </c>
      <c r="L70" s="7">
        <f t="shared" si="21"/>
        <v>0</v>
      </c>
      <c r="M70" s="9">
        <f t="shared" si="22"/>
        <v>0</v>
      </c>
    </row>
    <row r="71" spans="5:13" x14ac:dyDescent="0.25">
      <c r="E71" s="5">
        <f t="shared" si="23"/>
        <v>109</v>
      </c>
      <c r="F71" s="5">
        <f t="shared" si="24"/>
        <v>70</v>
      </c>
      <c r="G71" s="7">
        <f t="shared" si="17"/>
        <v>0</v>
      </c>
      <c r="H71" s="7">
        <f t="shared" si="18"/>
        <v>0</v>
      </c>
      <c r="I71" s="7">
        <f t="shared" si="25"/>
        <v>7200</v>
      </c>
      <c r="J71" s="7">
        <f t="shared" si="19"/>
        <v>0</v>
      </c>
      <c r="K71" s="7">
        <f t="shared" si="20"/>
        <v>0</v>
      </c>
      <c r="L71" s="7">
        <f t="shared" si="21"/>
        <v>0</v>
      </c>
      <c r="M71" s="9">
        <f t="shared" si="22"/>
        <v>0</v>
      </c>
    </row>
    <row r="72" spans="5:13" x14ac:dyDescent="0.25">
      <c r="E72" s="6">
        <f t="shared" si="23"/>
        <v>110</v>
      </c>
      <c r="F72" s="6">
        <f t="shared" si="24"/>
        <v>71</v>
      </c>
      <c r="G72" s="10">
        <f t="shared" si="17"/>
        <v>0</v>
      </c>
      <c r="H72" s="10">
        <f t="shared" si="18"/>
        <v>0</v>
      </c>
      <c r="I72" s="11">
        <f t="shared" si="25"/>
        <v>7200</v>
      </c>
      <c r="J72" s="11">
        <f t="shared" si="19"/>
        <v>0</v>
      </c>
      <c r="K72" s="10">
        <f t="shared" si="20"/>
        <v>0</v>
      </c>
      <c r="L72" s="11">
        <f t="shared" si="21"/>
        <v>0</v>
      </c>
      <c r="M72" s="11">
        <f t="shared" si="22"/>
        <v>0</v>
      </c>
    </row>
    <row r="128" spans="6:6" x14ac:dyDescent="0.25">
      <c r="F128" t="str">
        <f>IF(F127="","",IF($C$3+F127&lt;=110,F127+1,""))</f>
        <v/>
      </c>
    </row>
    <row r="129" spans="6:6" x14ac:dyDescent="0.25">
      <c r="F129" t="str">
        <f>IF(F128="","",IF($C$3+F128&lt;=110,F128+1,""))</f>
        <v/>
      </c>
    </row>
  </sheetData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2F55-77F4-4707-8088-6A799463C964}">
  <sheetPr codeName="Sheet3"/>
  <dimension ref="B2:R9"/>
  <sheetViews>
    <sheetView showGridLines="0" workbookViewId="0">
      <selection activeCell="U20" sqref="U20"/>
    </sheetView>
  </sheetViews>
  <sheetFormatPr defaultRowHeight="15.75" x14ac:dyDescent="0.25"/>
  <cols>
    <col min="1" max="1" width="4.125" customWidth="1"/>
    <col min="3" max="3" width="10.625" customWidth="1"/>
  </cols>
  <sheetData>
    <row r="2" spans="2:18" x14ac:dyDescent="0.25">
      <c r="B2" s="16" t="s">
        <v>0</v>
      </c>
      <c r="C2" s="37" t="s">
        <v>19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9"/>
    </row>
    <row r="3" spans="2:18" ht="22.5" customHeight="1" x14ac:dyDescent="0.25">
      <c r="B3" s="1" t="s">
        <v>9</v>
      </c>
      <c r="C3" s="36" t="s">
        <v>25</v>
      </c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</row>
    <row r="4" spans="2:18" ht="22.5" customHeight="1" x14ac:dyDescent="0.25">
      <c r="B4" s="1" t="s">
        <v>10</v>
      </c>
      <c r="C4" s="36" t="s">
        <v>20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</row>
    <row r="5" spans="2:18" ht="22.5" customHeight="1" x14ac:dyDescent="0.25">
      <c r="B5" s="1" t="s">
        <v>11</v>
      </c>
      <c r="C5" s="36" t="s">
        <v>21</v>
      </c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</row>
    <row r="6" spans="2:18" ht="22.5" customHeight="1" x14ac:dyDescent="0.25">
      <c r="B6" s="1" t="s">
        <v>12</v>
      </c>
      <c r="C6" s="36" t="s">
        <v>23</v>
      </c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</row>
    <row r="7" spans="2:18" ht="22.5" customHeight="1" x14ac:dyDescent="0.25">
      <c r="B7" s="1" t="s">
        <v>13</v>
      </c>
      <c r="C7" s="36" t="s">
        <v>24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</row>
    <row r="8" spans="2:18" ht="22.5" customHeight="1" x14ac:dyDescent="0.25">
      <c r="B8" s="1" t="s">
        <v>14</v>
      </c>
      <c r="C8" s="36" t="s">
        <v>22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</row>
    <row r="9" spans="2:18" ht="22.5" customHeight="1" x14ac:dyDescent="0.25">
      <c r="B9" s="1" t="s">
        <v>15</v>
      </c>
      <c r="C9" s="36" t="s">
        <v>26</v>
      </c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</row>
  </sheetData>
  <mergeCells count="8">
    <mergeCell ref="C7:R7"/>
    <mergeCell ref="C8:R8"/>
    <mergeCell ref="C9:R9"/>
    <mergeCell ref="C2:R2"/>
    <mergeCell ref="C3:R3"/>
    <mergeCell ref="C4:R4"/>
    <mergeCell ref="C5:R5"/>
    <mergeCell ref="C6:R6"/>
  </mergeCells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0D1CA-F9C4-4DB5-9CB4-90BCC8EA45BE}">
  <sheetPr codeName="Sheet4"/>
  <dimension ref="A1:E101"/>
  <sheetViews>
    <sheetView workbookViewId="0">
      <selection activeCell="I11" sqref="I11"/>
    </sheetView>
  </sheetViews>
  <sheetFormatPr defaultRowHeight="15" x14ac:dyDescent="0.25"/>
  <cols>
    <col min="1" max="1" width="10.5" style="32" bestFit="1" customWidth="1"/>
    <col min="2" max="2" width="7.375" style="32" customWidth="1"/>
    <col min="3" max="5" width="17.5" style="32" customWidth="1"/>
    <col min="6" max="16384" width="9" style="32"/>
  </cols>
  <sheetData>
    <row r="1" spans="1:5" x14ac:dyDescent="0.25">
      <c r="A1" s="41" t="s">
        <v>130</v>
      </c>
      <c r="B1" s="41" t="s">
        <v>129</v>
      </c>
      <c r="C1" s="41" t="s">
        <v>1</v>
      </c>
      <c r="D1" s="41" t="s">
        <v>2</v>
      </c>
      <c r="E1" s="41" t="s">
        <v>3</v>
      </c>
    </row>
    <row r="2" spans="1:5" x14ac:dyDescent="0.25">
      <c r="A2" s="34" t="s">
        <v>128</v>
      </c>
      <c r="B2" s="34">
        <v>5</v>
      </c>
      <c r="C2" s="34">
        <v>60</v>
      </c>
      <c r="D2" s="34">
        <v>67</v>
      </c>
      <c r="E2" s="34">
        <v>19</v>
      </c>
    </row>
    <row r="3" spans="1:5" x14ac:dyDescent="0.25">
      <c r="A3" s="34" t="s">
        <v>127</v>
      </c>
      <c r="B3" s="34">
        <v>4</v>
      </c>
      <c r="C3" s="34">
        <v>50</v>
      </c>
      <c r="D3" s="34"/>
      <c r="E3" s="34"/>
    </row>
    <row r="4" spans="1:5" x14ac:dyDescent="0.25">
      <c r="A4" s="34" t="s">
        <v>126</v>
      </c>
      <c r="B4" s="34">
        <v>3</v>
      </c>
      <c r="C4" s="34">
        <v>40</v>
      </c>
      <c r="D4" s="34">
        <v>50</v>
      </c>
      <c r="E4" s="34"/>
    </row>
    <row r="5" spans="1:5" x14ac:dyDescent="0.25">
      <c r="A5" s="34" t="s">
        <v>125</v>
      </c>
      <c r="B5" s="34">
        <v>1</v>
      </c>
      <c r="C5" s="34">
        <v>45</v>
      </c>
      <c r="D5" s="34">
        <v>48</v>
      </c>
      <c r="E5" s="34">
        <v>18</v>
      </c>
    </row>
    <row r="6" spans="1:5" x14ac:dyDescent="0.25">
      <c r="A6" s="34" t="s">
        <v>124</v>
      </c>
      <c r="B6" s="34">
        <v>2</v>
      </c>
      <c r="C6" s="34">
        <v>52</v>
      </c>
      <c r="D6" s="33"/>
      <c r="E6" s="33"/>
    </row>
    <row r="7" spans="1:5" x14ac:dyDescent="0.25">
      <c r="A7" s="34" t="s">
        <v>123</v>
      </c>
      <c r="B7" s="34">
        <v>2</v>
      </c>
      <c r="C7" s="34">
        <v>63</v>
      </c>
      <c r="D7" s="33"/>
      <c r="E7" s="33"/>
    </row>
    <row r="8" spans="1:5" x14ac:dyDescent="0.25">
      <c r="A8" s="34" t="s">
        <v>122</v>
      </c>
      <c r="B8" s="34">
        <v>4</v>
      </c>
      <c r="C8" s="34">
        <v>64</v>
      </c>
      <c r="D8" s="33"/>
      <c r="E8" s="33"/>
    </row>
    <row r="9" spans="1:5" x14ac:dyDescent="0.25">
      <c r="A9" s="34" t="s">
        <v>121</v>
      </c>
      <c r="B9" s="34">
        <v>3</v>
      </c>
      <c r="C9" s="34">
        <v>48</v>
      </c>
      <c r="D9" s="33">
        <v>60</v>
      </c>
      <c r="E9" s="33"/>
    </row>
    <row r="10" spans="1:5" x14ac:dyDescent="0.25">
      <c r="A10" s="34" t="s">
        <v>120</v>
      </c>
      <c r="B10" s="34">
        <v>4</v>
      </c>
      <c r="C10" s="34">
        <v>46</v>
      </c>
      <c r="D10" s="33"/>
      <c r="E10" s="33"/>
    </row>
    <row r="11" spans="1:5" x14ac:dyDescent="0.25">
      <c r="A11" s="34" t="s">
        <v>119</v>
      </c>
      <c r="B11" s="34">
        <v>5</v>
      </c>
      <c r="C11" s="34">
        <v>58</v>
      </c>
      <c r="D11" s="33">
        <v>63</v>
      </c>
      <c r="E11" s="33">
        <v>20</v>
      </c>
    </row>
    <row r="12" spans="1:5" x14ac:dyDescent="0.25">
      <c r="A12" s="34" t="s">
        <v>118</v>
      </c>
      <c r="B12" s="34">
        <v>7</v>
      </c>
      <c r="C12" s="34">
        <v>55</v>
      </c>
      <c r="D12" s="33">
        <v>64</v>
      </c>
      <c r="E12" s="33">
        <v>15</v>
      </c>
    </row>
    <row r="13" spans="1:5" x14ac:dyDescent="0.25">
      <c r="A13" s="34" t="s">
        <v>117</v>
      </c>
      <c r="B13" s="34">
        <v>1</v>
      </c>
      <c r="C13" s="34">
        <v>55</v>
      </c>
      <c r="D13" s="33">
        <v>68</v>
      </c>
      <c r="E13" s="33">
        <v>5</v>
      </c>
    </row>
    <row r="14" spans="1:5" x14ac:dyDescent="0.25">
      <c r="A14" s="34" t="s">
        <v>116</v>
      </c>
      <c r="B14" s="34">
        <v>1</v>
      </c>
      <c r="C14" s="34">
        <v>53</v>
      </c>
      <c r="D14" s="33">
        <v>54</v>
      </c>
      <c r="E14" s="33">
        <v>5</v>
      </c>
    </row>
    <row r="15" spans="1:5" x14ac:dyDescent="0.25">
      <c r="A15" s="34" t="s">
        <v>115</v>
      </c>
      <c r="B15" s="34">
        <v>1</v>
      </c>
      <c r="C15" s="34">
        <v>45</v>
      </c>
      <c r="D15" s="33">
        <v>58</v>
      </c>
      <c r="E15" s="33">
        <v>19</v>
      </c>
    </row>
    <row r="16" spans="1:5" x14ac:dyDescent="0.25">
      <c r="A16" s="34" t="s">
        <v>114</v>
      </c>
      <c r="B16" s="34">
        <v>6</v>
      </c>
      <c r="C16" s="34">
        <v>53</v>
      </c>
      <c r="D16" s="33">
        <v>67</v>
      </c>
      <c r="E16" s="33">
        <v>7</v>
      </c>
    </row>
    <row r="17" spans="1:5" x14ac:dyDescent="0.25">
      <c r="A17" s="34" t="s">
        <v>113</v>
      </c>
      <c r="B17" s="34">
        <v>7</v>
      </c>
      <c r="C17" s="34">
        <v>56</v>
      </c>
      <c r="D17" s="33">
        <v>58</v>
      </c>
      <c r="E17" s="33">
        <v>10</v>
      </c>
    </row>
    <row r="18" spans="1:5" x14ac:dyDescent="0.25">
      <c r="A18" s="34" t="s">
        <v>112</v>
      </c>
      <c r="B18" s="34">
        <v>5</v>
      </c>
      <c r="C18" s="34">
        <v>52</v>
      </c>
      <c r="D18" s="33">
        <v>61</v>
      </c>
      <c r="E18" s="33">
        <v>20</v>
      </c>
    </row>
    <row r="19" spans="1:5" x14ac:dyDescent="0.25">
      <c r="A19" s="34" t="s">
        <v>111</v>
      </c>
      <c r="B19" s="34">
        <v>2</v>
      </c>
      <c r="C19" s="34">
        <v>56</v>
      </c>
      <c r="D19" s="33"/>
      <c r="E19" s="33"/>
    </row>
    <row r="20" spans="1:5" x14ac:dyDescent="0.25">
      <c r="A20" s="34" t="s">
        <v>110</v>
      </c>
      <c r="B20" s="34">
        <v>2</v>
      </c>
      <c r="C20" s="34">
        <v>47</v>
      </c>
      <c r="D20" s="33"/>
      <c r="E20" s="33"/>
    </row>
    <row r="21" spans="1:5" x14ac:dyDescent="0.25">
      <c r="A21" s="34" t="s">
        <v>109</v>
      </c>
      <c r="B21" s="34">
        <v>3</v>
      </c>
      <c r="C21" s="34">
        <v>41</v>
      </c>
      <c r="D21" s="33">
        <v>41</v>
      </c>
      <c r="E21" s="33"/>
    </row>
    <row r="22" spans="1:5" x14ac:dyDescent="0.25">
      <c r="A22" s="34" t="s">
        <v>108</v>
      </c>
      <c r="B22" s="34">
        <v>6</v>
      </c>
      <c r="C22" s="34">
        <v>50</v>
      </c>
      <c r="D22" s="33">
        <v>58</v>
      </c>
      <c r="E22" s="33">
        <v>20</v>
      </c>
    </row>
    <row r="23" spans="1:5" x14ac:dyDescent="0.25">
      <c r="A23" s="34" t="s">
        <v>107</v>
      </c>
      <c r="B23" s="34">
        <v>4</v>
      </c>
      <c r="C23" s="34">
        <v>58</v>
      </c>
      <c r="D23" s="33"/>
      <c r="E23" s="33"/>
    </row>
    <row r="24" spans="1:5" x14ac:dyDescent="0.25">
      <c r="A24" s="34" t="s">
        <v>106</v>
      </c>
      <c r="B24" s="34">
        <v>1</v>
      </c>
      <c r="C24" s="34">
        <v>51</v>
      </c>
      <c r="D24" s="33">
        <v>57</v>
      </c>
      <c r="E24" s="33">
        <v>6</v>
      </c>
    </row>
    <row r="25" spans="1:5" x14ac:dyDescent="0.25">
      <c r="A25" s="34" t="s">
        <v>105</v>
      </c>
      <c r="B25" s="34">
        <v>5</v>
      </c>
      <c r="C25" s="34">
        <v>40</v>
      </c>
      <c r="D25" s="33">
        <v>43</v>
      </c>
      <c r="E25" s="33">
        <v>17</v>
      </c>
    </row>
    <row r="26" spans="1:5" x14ac:dyDescent="0.25">
      <c r="A26" s="34" t="s">
        <v>104</v>
      </c>
      <c r="B26" s="34">
        <v>7</v>
      </c>
      <c r="C26" s="34">
        <v>47</v>
      </c>
      <c r="D26" s="33">
        <v>61</v>
      </c>
      <c r="E26" s="33">
        <v>5</v>
      </c>
    </row>
    <row r="27" spans="1:5" x14ac:dyDescent="0.25">
      <c r="A27" s="34" t="s">
        <v>103</v>
      </c>
      <c r="B27" s="34">
        <v>5</v>
      </c>
      <c r="C27" s="34">
        <v>57</v>
      </c>
      <c r="D27" s="33">
        <v>60</v>
      </c>
      <c r="E27" s="33">
        <v>20</v>
      </c>
    </row>
    <row r="28" spans="1:5" x14ac:dyDescent="0.25">
      <c r="A28" s="34" t="s">
        <v>102</v>
      </c>
      <c r="B28" s="34">
        <v>1</v>
      </c>
      <c r="C28" s="34">
        <v>52</v>
      </c>
      <c r="D28" s="33">
        <v>66</v>
      </c>
      <c r="E28" s="33">
        <v>12</v>
      </c>
    </row>
    <row r="29" spans="1:5" x14ac:dyDescent="0.25">
      <c r="A29" s="34" t="s">
        <v>101</v>
      </c>
      <c r="B29" s="34">
        <v>3</v>
      </c>
      <c r="C29" s="34">
        <v>67</v>
      </c>
      <c r="D29" s="33">
        <v>71</v>
      </c>
      <c r="E29" s="33"/>
    </row>
    <row r="30" spans="1:5" x14ac:dyDescent="0.25">
      <c r="A30" s="34" t="s">
        <v>100</v>
      </c>
      <c r="B30" s="34">
        <v>7</v>
      </c>
      <c r="C30" s="34">
        <v>42</v>
      </c>
      <c r="D30" s="33">
        <v>46</v>
      </c>
      <c r="E30" s="33">
        <v>16</v>
      </c>
    </row>
    <row r="31" spans="1:5" x14ac:dyDescent="0.25">
      <c r="A31" s="34" t="s">
        <v>99</v>
      </c>
      <c r="B31" s="34">
        <v>1</v>
      </c>
      <c r="C31" s="34">
        <v>60</v>
      </c>
      <c r="D31" s="33">
        <v>66</v>
      </c>
      <c r="E31" s="33">
        <v>8</v>
      </c>
    </row>
    <row r="32" spans="1:5" x14ac:dyDescent="0.25">
      <c r="A32" s="34" t="s">
        <v>98</v>
      </c>
      <c r="B32" s="34">
        <v>1</v>
      </c>
      <c r="C32" s="34">
        <v>45</v>
      </c>
      <c r="D32" s="33">
        <v>45</v>
      </c>
      <c r="E32" s="33">
        <v>19</v>
      </c>
    </row>
    <row r="33" spans="1:5" x14ac:dyDescent="0.25">
      <c r="A33" s="34" t="s">
        <v>97</v>
      </c>
      <c r="B33" s="34">
        <v>1</v>
      </c>
      <c r="C33" s="34">
        <v>63</v>
      </c>
      <c r="D33" s="33">
        <v>69</v>
      </c>
      <c r="E33" s="33">
        <v>6</v>
      </c>
    </row>
    <row r="34" spans="1:5" x14ac:dyDescent="0.25">
      <c r="A34" s="34" t="s">
        <v>96</v>
      </c>
      <c r="B34" s="34">
        <v>1</v>
      </c>
      <c r="C34" s="34">
        <v>42</v>
      </c>
      <c r="D34" s="33">
        <v>43</v>
      </c>
      <c r="E34" s="33">
        <v>19</v>
      </c>
    </row>
    <row r="35" spans="1:5" x14ac:dyDescent="0.25">
      <c r="A35" s="34" t="s">
        <v>95</v>
      </c>
      <c r="B35" s="34">
        <v>5</v>
      </c>
      <c r="C35" s="34">
        <v>44</v>
      </c>
      <c r="D35" s="33">
        <v>57</v>
      </c>
      <c r="E35" s="33">
        <v>5</v>
      </c>
    </row>
    <row r="36" spans="1:5" x14ac:dyDescent="0.25">
      <c r="A36" s="34" t="s">
        <v>94</v>
      </c>
      <c r="B36" s="34">
        <v>1</v>
      </c>
      <c r="C36" s="34">
        <v>63</v>
      </c>
      <c r="D36" s="33">
        <v>69</v>
      </c>
      <c r="E36" s="33">
        <v>20</v>
      </c>
    </row>
    <row r="37" spans="1:5" x14ac:dyDescent="0.25">
      <c r="A37" s="34" t="s">
        <v>93</v>
      </c>
      <c r="B37" s="34">
        <v>1</v>
      </c>
      <c r="C37" s="34">
        <v>68</v>
      </c>
      <c r="D37" s="33">
        <v>69</v>
      </c>
      <c r="E37" s="33">
        <v>17</v>
      </c>
    </row>
    <row r="38" spans="1:5" x14ac:dyDescent="0.25">
      <c r="A38" s="34" t="s">
        <v>92</v>
      </c>
      <c r="B38" s="34">
        <v>2</v>
      </c>
      <c r="C38" s="34">
        <v>42</v>
      </c>
      <c r="D38" s="33"/>
      <c r="E38" s="33"/>
    </row>
    <row r="39" spans="1:5" x14ac:dyDescent="0.25">
      <c r="A39" s="34" t="s">
        <v>91</v>
      </c>
      <c r="B39" s="34">
        <v>2</v>
      </c>
      <c r="C39" s="34">
        <v>67</v>
      </c>
      <c r="D39" s="33"/>
      <c r="E39" s="33"/>
    </row>
    <row r="40" spans="1:5" x14ac:dyDescent="0.25">
      <c r="A40" s="34" t="s">
        <v>90</v>
      </c>
      <c r="B40" s="34">
        <v>3</v>
      </c>
      <c r="C40" s="34">
        <v>70</v>
      </c>
      <c r="D40" s="33">
        <v>72</v>
      </c>
      <c r="E40" s="33"/>
    </row>
    <row r="41" spans="1:5" x14ac:dyDescent="0.25">
      <c r="A41" s="34" t="s">
        <v>89</v>
      </c>
      <c r="B41" s="34">
        <v>1</v>
      </c>
      <c r="C41" s="34">
        <v>69</v>
      </c>
      <c r="D41" s="33">
        <v>78</v>
      </c>
      <c r="E41" s="33">
        <v>6</v>
      </c>
    </row>
    <row r="42" spans="1:5" x14ac:dyDescent="0.25">
      <c r="A42" s="34" t="s">
        <v>88</v>
      </c>
      <c r="B42" s="34">
        <v>2</v>
      </c>
      <c r="C42" s="34">
        <v>41</v>
      </c>
      <c r="D42" s="33"/>
      <c r="E42" s="33"/>
    </row>
    <row r="43" spans="1:5" x14ac:dyDescent="0.25">
      <c r="A43" s="34" t="s">
        <v>87</v>
      </c>
      <c r="B43" s="34">
        <v>2</v>
      </c>
      <c r="C43" s="34">
        <v>49</v>
      </c>
      <c r="D43" s="33"/>
      <c r="E43" s="33"/>
    </row>
    <row r="44" spans="1:5" x14ac:dyDescent="0.25">
      <c r="A44" s="34" t="s">
        <v>86</v>
      </c>
      <c r="B44" s="34">
        <v>7</v>
      </c>
      <c r="C44" s="34">
        <v>44</v>
      </c>
      <c r="D44" s="33">
        <v>59</v>
      </c>
      <c r="E44" s="33">
        <v>6</v>
      </c>
    </row>
    <row r="45" spans="1:5" x14ac:dyDescent="0.25">
      <c r="A45" s="34" t="s">
        <v>85</v>
      </c>
      <c r="B45" s="34">
        <v>6</v>
      </c>
      <c r="C45" s="34">
        <v>45</v>
      </c>
      <c r="D45" s="33">
        <v>52</v>
      </c>
      <c r="E45" s="33">
        <v>20</v>
      </c>
    </row>
    <row r="46" spans="1:5" x14ac:dyDescent="0.25">
      <c r="A46" s="34" t="s">
        <v>84</v>
      </c>
      <c r="B46" s="34">
        <v>4</v>
      </c>
      <c r="C46" s="34">
        <v>50</v>
      </c>
      <c r="D46" s="33"/>
      <c r="E46" s="33"/>
    </row>
    <row r="47" spans="1:5" x14ac:dyDescent="0.25">
      <c r="A47" s="34" t="s">
        <v>83</v>
      </c>
      <c r="B47" s="34">
        <v>7</v>
      </c>
      <c r="C47" s="34">
        <v>49</v>
      </c>
      <c r="D47" s="33">
        <v>63</v>
      </c>
      <c r="E47" s="33">
        <v>11</v>
      </c>
    </row>
    <row r="48" spans="1:5" x14ac:dyDescent="0.25">
      <c r="A48" s="34" t="s">
        <v>82</v>
      </c>
      <c r="B48" s="34">
        <v>6</v>
      </c>
      <c r="C48" s="34">
        <v>55</v>
      </c>
      <c r="D48" s="33">
        <v>57</v>
      </c>
      <c r="E48" s="33">
        <v>5</v>
      </c>
    </row>
    <row r="49" spans="1:5" x14ac:dyDescent="0.25">
      <c r="A49" s="34" t="s">
        <v>81</v>
      </c>
      <c r="B49" s="34">
        <v>2</v>
      </c>
      <c r="C49" s="34">
        <v>58</v>
      </c>
      <c r="D49" s="33"/>
      <c r="E49" s="33"/>
    </row>
    <row r="50" spans="1:5" x14ac:dyDescent="0.25">
      <c r="A50" s="34" t="s">
        <v>80</v>
      </c>
      <c r="B50" s="34">
        <v>6</v>
      </c>
      <c r="C50" s="34">
        <v>60</v>
      </c>
      <c r="D50" s="33">
        <v>73</v>
      </c>
      <c r="E50" s="33">
        <v>18</v>
      </c>
    </row>
    <row r="51" spans="1:5" x14ac:dyDescent="0.25">
      <c r="A51" s="34" t="s">
        <v>79</v>
      </c>
      <c r="B51" s="34">
        <v>7</v>
      </c>
      <c r="C51" s="34">
        <v>59</v>
      </c>
      <c r="D51" s="33">
        <v>60</v>
      </c>
      <c r="E51" s="33">
        <v>16</v>
      </c>
    </row>
    <row r="52" spans="1:5" x14ac:dyDescent="0.25">
      <c r="A52" s="34" t="s">
        <v>78</v>
      </c>
      <c r="B52" s="34">
        <v>5</v>
      </c>
      <c r="C52" s="34">
        <v>42</v>
      </c>
      <c r="D52" s="33">
        <v>55</v>
      </c>
      <c r="E52" s="33">
        <v>18</v>
      </c>
    </row>
    <row r="53" spans="1:5" x14ac:dyDescent="0.25">
      <c r="A53" s="34" t="s">
        <v>77</v>
      </c>
      <c r="B53" s="34">
        <v>3</v>
      </c>
      <c r="C53" s="34">
        <v>66</v>
      </c>
      <c r="D53" s="33">
        <v>78</v>
      </c>
      <c r="E53" s="33"/>
    </row>
    <row r="54" spans="1:5" x14ac:dyDescent="0.25">
      <c r="A54" s="34" t="s">
        <v>76</v>
      </c>
      <c r="B54" s="34">
        <v>3</v>
      </c>
      <c r="C54" s="34">
        <v>49</v>
      </c>
      <c r="D54" s="33">
        <v>50</v>
      </c>
      <c r="E54" s="33"/>
    </row>
    <row r="55" spans="1:5" x14ac:dyDescent="0.25">
      <c r="A55" s="34" t="s">
        <v>75</v>
      </c>
      <c r="B55" s="34">
        <v>1</v>
      </c>
      <c r="C55" s="34">
        <v>54</v>
      </c>
      <c r="D55" s="33">
        <v>55</v>
      </c>
      <c r="E55" s="33">
        <v>12</v>
      </c>
    </row>
    <row r="56" spans="1:5" x14ac:dyDescent="0.25">
      <c r="A56" s="34" t="s">
        <v>74</v>
      </c>
      <c r="B56" s="34">
        <v>4</v>
      </c>
      <c r="C56" s="34">
        <v>56</v>
      </c>
      <c r="D56" s="33"/>
      <c r="E56" s="33"/>
    </row>
    <row r="57" spans="1:5" x14ac:dyDescent="0.25">
      <c r="A57" s="34" t="s">
        <v>73</v>
      </c>
      <c r="B57" s="34">
        <v>2</v>
      </c>
      <c r="C57" s="34">
        <v>58</v>
      </c>
      <c r="D57" s="33"/>
      <c r="E57" s="33"/>
    </row>
    <row r="58" spans="1:5" x14ac:dyDescent="0.25">
      <c r="A58" s="34" t="s">
        <v>72</v>
      </c>
      <c r="B58" s="34">
        <v>3</v>
      </c>
      <c r="C58" s="34">
        <v>63</v>
      </c>
      <c r="D58" s="33">
        <v>78</v>
      </c>
      <c r="E58" s="33"/>
    </row>
    <row r="59" spans="1:5" x14ac:dyDescent="0.25">
      <c r="A59" s="34" t="s">
        <v>71</v>
      </c>
      <c r="B59" s="34">
        <v>3</v>
      </c>
      <c r="C59" s="34">
        <v>51</v>
      </c>
      <c r="D59" s="33">
        <v>64</v>
      </c>
      <c r="E59" s="33"/>
    </row>
    <row r="60" spans="1:5" x14ac:dyDescent="0.25">
      <c r="A60" s="34" t="s">
        <v>70</v>
      </c>
      <c r="B60" s="34">
        <v>4</v>
      </c>
      <c r="C60" s="34">
        <v>55</v>
      </c>
      <c r="D60" s="33"/>
      <c r="E60" s="33"/>
    </row>
    <row r="61" spans="1:5" x14ac:dyDescent="0.25">
      <c r="A61" s="34" t="s">
        <v>69</v>
      </c>
      <c r="B61" s="34">
        <v>1</v>
      </c>
      <c r="C61" s="34">
        <v>41</v>
      </c>
      <c r="D61" s="33">
        <v>51</v>
      </c>
      <c r="E61" s="33">
        <v>12</v>
      </c>
    </row>
    <row r="62" spans="1:5" x14ac:dyDescent="0.25">
      <c r="A62" s="34" t="s">
        <v>68</v>
      </c>
      <c r="B62" s="34">
        <v>1</v>
      </c>
      <c r="C62" s="34">
        <v>54</v>
      </c>
      <c r="D62" s="33">
        <v>63</v>
      </c>
      <c r="E62" s="33">
        <v>17</v>
      </c>
    </row>
    <row r="63" spans="1:5" x14ac:dyDescent="0.25">
      <c r="A63" s="34" t="s">
        <v>67</v>
      </c>
      <c r="B63" s="34">
        <v>7</v>
      </c>
      <c r="C63" s="34">
        <v>42</v>
      </c>
      <c r="D63" s="33">
        <v>57</v>
      </c>
      <c r="E63" s="33">
        <v>17</v>
      </c>
    </row>
    <row r="64" spans="1:5" x14ac:dyDescent="0.25">
      <c r="A64" s="34" t="s">
        <v>66</v>
      </c>
      <c r="B64" s="34">
        <v>4</v>
      </c>
      <c r="C64" s="34">
        <v>53</v>
      </c>
      <c r="D64" s="33"/>
      <c r="E64" s="33"/>
    </row>
    <row r="65" spans="1:5" x14ac:dyDescent="0.25">
      <c r="A65" s="34" t="s">
        <v>65</v>
      </c>
      <c r="B65" s="34">
        <v>2</v>
      </c>
      <c r="C65" s="34">
        <v>58</v>
      </c>
      <c r="D65" s="33"/>
      <c r="E65" s="33"/>
    </row>
    <row r="66" spans="1:5" x14ac:dyDescent="0.25">
      <c r="A66" s="34" t="s">
        <v>64</v>
      </c>
      <c r="B66" s="34">
        <v>1</v>
      </c>
      <c r="C66" s="34">
        <v>54</v>
      </c>
      <c r="D66" s="33">
        <v>66</v>
      </c>
      <c r="E66" s="33">
        <v>20</v>
      </c>
    </row>
    <row r="67" spans="1:5" x14ac:dyDescent="0.25">
      <c r="A67" s="34" t="s">
        <v>63</v>
      </c>
      <c r="B67" s="34">
        <v>7</v>
      </c>
      <c r="C67" s="34">
        <v>47</v>
      </c>
      <c r="D67" s="33">
        <v>57</v>
      </c>
      <c r="E67" s="33">
        <v>8</v>
      </c>
    </row>
    <row r="68" spans="1:5" x14ac:dyDescent="0.25">
      <c r="A68" s="34" t="s">
        <v>62</v>
      </c>
      <c r="B68" s="34">
        <v>2</v>
      </c>
      <c r="C68" s="34">
        <v>60</v>
      </c>
      <c r="D68" s="33"/>
      <c r="E68" s="33"/>
    </row>
    <row r="69" spans="1:5" x14ac:dyDescent="0.25">
      <c r="A69" s="34" t="s">
        <v>61</v>
      </c>
      <c r="B69" s="34">
        <v>2</v>
      </c>
      <c r="C69" s="34">
        <v>49</v>
      </c>
      <c r="D69" s="33"/>
      <c r="E69" s="33"/>
    </row>
    <row r="70" spans="1:5" x14ac:dyDescent="0.25">
      <c r="A70" s="34" t="s">
        <v>60</v>
      </c>
      <c r="B70" s="34">
        <v>3</v>
      </c>
      <c r="C70" s="34">
        <v>53</v>
      </c>
      <c r="D70" s="33">
        <v>58</v>
      </c>
      <c r="E70" s="33"/>
    </row>
    <row r="71" spans="1:5" x14ac:dyDescent="0.25">
      <c r="A71" s="34" t="s">
        <v>59</v>
      </c>
      <c r="B71" s="34">
        <v>7</v>
      </c>
      <c r="C71" s="34">
        <v>50</v>
      </c>
      <c r="D71" s="33">
        <v>50</v>
      </c>
      <c r="E71" s="33">
        <v>15</v>
      </c>
    </row>
    <row r="72" spans="1:5" x14ac:dyDescent="0.25">
      <c r="A72" s="34" t="s">
        <v>58</v>
      </c>
      <c r="B72" s="34">
        <v>7</v>
      </c>
      <c r="C72" s="34">
        <v>44</v>
      </c>
      <c r="D72" s="33">
        <v>46</v>
      </c>
      <c r="E72" s="33">
        <v>9</v>
      </c>
    </row>
    <row r="73" spans="1:5" x14ac:dyDescent="0.25">
      <c r="A73" s="34" t="s">
        <v>57</v>
      </c>
      <c r="B73" s="34">
        <v>1</v>
      </c>
      <c r="C73" s="34">
        <v>56</v>
      </c>
      <c r="D73" s="33">
        <v>59</v>
      </c>
      <c r="E73" s="33">
        <v>14</v>
      </c>
    </row>
    <row r="74" spans="1:5" x14ac:dyDescent="0.25">
      <c r="A74" s="34" t="s">
        <v>56</v>
      </c>
      <c r="B74" s="34">
        <v>4</v>
      </c>
      <c r="C74" s="34">
        <v>51</v>
      </c>
      <c r="D74" s="33"/>
      <c r="E74" s="33"/>
    </row>
    <row r="75" spans="1:5" x14ac:dyDescent="0.25">
      <c r="A75" s="34" t="s">
        <v>55</v>
      </c>
      <c r="B75" s="34">
        <v>5</v>
      </c>
      <c r="C75" s="34">
        <v>68</v>
      </c>
      <c r="D75" s="33">
        <v>72</v>
      </c>
      <c r="E75" s="33">
        <v>5</v>
      </c>
    </row>
    <row r="76" spans="1:5" x14ac:dyDescent="0.25">
      <c r="A76" s="34" t="s">
        <v>54</v>
      </c>
      <c r="B76" s="34">
        <v>3</v>
      </c>
      <c r="C76" s="34">
        <v>57</v>
      </c>
      <c r="D76" s="33">
        <v>64</v>
      </c>
      <c r="E76" s="33"/>
    </row>
    <row r="77" spans="1:5" x14ac:dyDescent="0.25">
      <c r="A77" s="34" t="s">
        <v>53</v>
      </c>
      <c r="B77" s="34">
        <v>3</v>
      </c>
      <c r="C77" s="34">
        <v>45</v>
      </c>
      <c r="D77" s="33">
        <v>48</v>
      </c>
      <c r="E77" s="33"/>
    </row>
    <row r="78" spans="1:5" x14ac:dyDescent="0.25">
      <c r="A78" s="34" t="s">
        <v>52</v>
      </c>
      <c r="B78" s="34">
        <v>1</v>
      </c>
      <c r="C78" s="34">
        <v>54</v>
      </c>
      <c r="D78" s="33">
        <v>64</v>
      </c>
      <c r="E78" s="33">
        <v>11</v>
      </c>
    </row>
    <row r="79" spans="1:5" x14ac:dyDescent="0.25">
      <c r="A79" s="34" t="s">
        <v>51</v>
      </c>
      <c r="B79" s="34">
        <v>3</v>
      </c>
      <c r="C79" s="34">
        <v>51</v>
      </c>
      <c r="D79" s="33">
        <v>62</v>
      </c>
      <c r="E79" s="33"/>
    </row>
    <row r="80" spans="1:5" x14ac:dyDescent="0.25">
      <c r="A80" s="34" t="s">
        <v>50</v>
      </c>
      <c r="B80" s="34">
        <v>2</v>
      </c>
      <c r="C80" s="34">
        <v>46</v>
      </c>
      <c r="D80" s="33"/>
      <c r="E80" s="33"/>
    </row>
    <row r="81" spans="1:5" x14ac:dyDescent="0.25">
      <c r="A81" s="34" t="s">
        <v>49</v>
      </c>
      <c r="B81" s="34">
        <v>3</v>
      </c>
      <c r="C81" s="34">
        <v>66</v>
      </c>
      <c r="D81" s="33">
        <v>66</v>
      </c>
      <c r="E81" s="33"/>
    </row>
    <row r="82" spans="1:5" x14ac:dyDescent="0.25">
      <c r="A82" s="34" t="s">
        <v>48</v>
      </c>
      <c r="B82" s="34">
        <v>7</v>
      </c>
      <c r="C82" s="34">
        <v>62</v>
      </c>
      <c r="D82" s="33">
        <v>68</v>
      </c>
      <c r="E82" s="33">
        <v>17</v>
      </c>
    </row>
    <row r="83" spans="1:5" x14ac:dyDescent="0.25">
      <c r="A83" s="34" t="s">
        <v>47</v>
      </c>
      <c r="B83" s="34">
        <v>3</v>
      </c>
      <c r="C83" s="34">
        <v>57</v>
      </c>
      <c r="D83" s="33">
        <v>70</v>
      </c>
      <c r="E83" s="33"/>
    </row>
    <row r="84" spans="1:5" x14ac:dyDescent="0.25">
      <c r="A84" s="34" t="s">
        <v>46</v>
      </c>
      <c r="B84" s="34">
        <v>5</v>
      </c>
      <c r="C84" s="34">
        <v>47</v>
      </c>
      <c r="D84" s="33">
        <v>47</v>
      </c>
      <c r="E84" s="33">
        <v>7</v>
      </c>
    </row>
    <row r="85" spans="1:5" x14ac:dyDescent="0.25">
      <c r="A85" s="34" t="s">
        <v>45</v>
      </c>
      <c r="B85" s="34">
        <v>2</v>
      </c>
      <c r="C85" s="34">
        <v>54</v>
      </c>
      <c r="D85" s="33"/>
      <c r="E85" s="33"/>
    </row>
    <row r="86" spans="1:5" x14ac:dyDescent="0.25">
      <c r="A86" s="34" t="s">
        <v>44</v>
      </c>
      <c r="B86" s="34">
        <v>1</v>
      </c>
      <c r="C86" s="34">
        <v>42</v>
      </c>
      <c r="D86" s="33">
        <v>51</v>
      </c>
      <c r="E86" s="33">
        <v>10</v>
      </c>
    </row>
    <row r="87" spans="1:5" x14ac:dyDescent="0.25">
      <c r="A87" s="34" t="s">
        <v>43</v>
      </c>
      <c r="B87" s="34">
        <v>7</v>
      </c>
      <c r="C87" s="34">
        <v>45</v>
      </c>
      <c r="D87" s="33">
        <v>48</v>
      </c>
      <c r="E87" s="33">
        <v>9</v>
      </c>
    </row>
    <row r="88" spans="1:5" x14ac:dyDescent="0.25">
      <c r="A88" s="34" t="s">
        <v>42</v>
      </c>
      <c r="B88" s="34">
        <v>7</v>
      </c>
      <c r="C88" s="34">
        <v>60</v>
      </c>
      <c r="D88" s="33">
        <v>61</v>
      </c>
      <c r="E88" s="33">
        <v>13</v>
      </c>
    </row>
    <row r="89" spans="1:5" x14ac:dyDescent="0.25">
      <c r="A89" s="34" t="s">
        <v>41</v>
      </c>
      <c r="B89" s="34">
        <v>1</v>
      </c>
      <c r="C89" s="34">
        <v>63</v>
      </c>
      <c r="D89" s="33">
        <v>73</v>
      </c>
      <c r="E89" s="33">
        <v>6</v>
      </c>
    </row>
    <row r="90" spans="1:5" x14ac:dyDescent="0.25">
      <c r="A90" s="34" t="s">
        <v>40</v>
      </c>
      <c r="B90" s="34">
        <v>2</v>
      </c>
      <c r="C90" s="34">
        <v>70</v>
      </c>
      <c r="D90" s="33"/>
      <c r="E90" s="33"/>
    </row>
    <row r="91" spans="1:5" x14ac:dyDescent="0.25">
      <c r="A91" s="34" t="s">
        <v>39</v>
      </c>
      <c r="B91" s="34">
        <v>2</v>
      </c>
      <c r="C91" s="34">
        <v>69</v>
      </c>
      <c r="D91" s="33"/>
      <c r="E91" s="33"/>
    </row>
    <row r="92" spans="1:5" x14ac:dyDescent="0.25">
      <c r="A92" s="34" t="s">
        <v>38</v>
      </c>
      <c r="B92" s="34">
        <v>3</v>
      </c>
      <c r="C92" s="34">
        <v>63</v>
      </c>
      <c r="D92" s="33">
        <v>66</v>
      </c>
      <c r="E92" s="33"/>
    </row>
    <row r="93" spans="1:5" x14ac:dyDescent="0.25">
      <c r="A93" s="34" t="s">
        <v>37</v>
      </c>
      <c r="B93" s="34">
        <v>3</v>
      </c>
      <c r="C93" s="34">
        <v>68</v>
      </c>
      <c r="D93" s="33">
        <v>80</v>
      </c>
      <c r="E93" s="33"/>
    </row>
    <row r="94" spans="1:5" x14ac:dyDescent="0.25">
      <c r="A94" s="34" t="s">
        <v>36</v>
      </c>
      <c r="B94" s="34">
        <v>7</v>
      </c>
      <c r="C94" s="34">
        <v>63</v>
      </c>
      <c r="D94" s="33">
        <v>69</v>
      </c>
      <c r="E94" s="33">
        <v>17</v>
      </c>
    </row>
    <row r="95" spans="1:5" x14ac:dyDescent="0.25">
      <c r="A95" s="34" t="s">
        <v>35</v>
      </c>
      <c r="B95" s="34">
        <v>3</v>
      </c>
      <c r="C95" s="34">
        <v>45</v>
      </c>
      <c r="D95" s="33">
        <v>59</v>
      </c>
      <c r="E95" s="33"/>
    </row>
    <row r="96" spans="1:5" x14ac:dyDescent="0.25">
      <c r="A96" s="34" t="s">
        <v>34</v>
      </c>
      <c r="B96" s="34">
        <v>3</v>
      </c>
      <c r="C96" s="34">
        <v>55</v>
      </c>
      <c r="D96" s="33">
        <v>65</v>
      </c>
      <c r="E96" s="33"/>
    </row>
    <row r="97" spans="1:5" x14ac:dyDescent="0.25">
      <c r="A97" s="34" t="s">
        <v>33</v>
      </c>
      <c r="B97" s="34">
        <v>3</v>
      </c>
      <c r="C97" s="34">
        <v>68</v>
      </c>
      <c r="D97" s="33">
        <v>69</v>
      </c>
      <c r="E97" s="33"/>
    </row>
    <row r="98" spans="1:5" x14ac:dyDescent="0.25">
      <c r="A98" s="34" t="s">
        <v>32</v>
      </c>
      <c r="B98" s="34">
        <v>1</v>
      </c>
      <c r="C98" s="34">
        <v>65</v>
      </c>
      <c r="D98" s="33">
        <v>80</v>
      </c>
      <c r="E98" s="33">
        <v>12</v>
      </c>
    </row>
    <row r="99" spans="1:5" x14ac:dyDescent="0.25">
      <c r="A99" s="34" t="s">
        <v>31</v>
      </c>
      <c r="B99" s="34">
        <v>3</v>
      </c>
      <c r="C99" s="34">
        <v>58</v>
      </c>
      <c r="D99" s="33">
        <v>60</v>
      </c>
      <c r="E99" s="33"/>
    </row>
    <row r="100" spans="1:5" x14ac:dyDescent="0.25">
      <c r="A100" s="34" t="s">
        <v>30</v>
      </c>
      <c r="B100" s="34">
        <v>3</v>
      </c>
      <c r="C100" s="34">
        <v>41</v>
      </c>
      <c r="D100" s="33">
        <v>51</v>
      </c>
      <c r="E100" s="33"/>
    </row>
    <row r="101" spans="1:5" x14ac:dyDescent="0.25">
      <c r="A101" s="34" t="s">
        <v>29</v>
      </c>
      <c r="B101" s="34">
        <v>3</v>
      </c>
      <c r="C101" s="34">
        <v>61</v>
      </c>
      <c r="D101" s="33">
        <v>70</v>
      </c>
      <c r="E101" s="3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Illustration Tool</vt:lpstr>
      <vt:lpstr>Payment Calculator</vt:lpstr>
      <vt:lpstr>Plan Descriptions</vt:lpstr>
      <vt:lpstr>Block of Business</vt:lpstr>
      <vt:lpstr>plan_vs_payment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Y</dc:creator>
  <cp:lastModifiedBy>Anson Chiu</cp:lastModifiedBy>
  <dcterms:created xsi:type="dcterms:W3CDTF">2021-11-09T09:52:35Z</dcterms:created>
  <dcterms:modified xsi:type="dcterms:W3CDTF">2021-11-15T11:28:04Z</dcterms:modified>
</cp:coreProperties>
</file>